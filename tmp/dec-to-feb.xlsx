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SS res" sheetId="1" r:id="rId5"/>
    <sheet state="visible" name="SHRIPAL JI" sheetId="2" r:id="rId6"/>
    <sheet state="visible" name="Ajay (everest)" sheetId="3" r:id="rId7"/>
    <sheet state="visible" name="Rohit (RJ GREEN)" sheetId="4" r:id="rId8"/>
    <sheet state="visible" name="Pradeep (veer)" sheetId="5" r:id="rId9"/>
    <sheet state="visible" name="MSS COMMERCIAL" sheetId="6" r:id="rId10"/>
    <sheet state="visible" name="dilkhus" sheetId="7" r:id="rId11"/>
    <sheet state="visible" name="RAVI" sheetId="8" r:id="rId12"/>
    <sheet state="visible" name="ARKSHKATI COMM" sheetId="9" r:id="rId13"/>
    <sheet state="visible" name="ALWAR SITES" sheetId="10" r:id="rId14"/>
  </sheets>
  <definedNames/>
  <calcPr/>
</workbook>
</file>

<file path=xl/sharedStrings.xml><?xml version="1.0" encoding="utf-8"?>
<sst xmlns="http://schemas.openxmlformats.org/spreadsheetml/2006/main" count="1762" uniqueCount="457">
  <si>
    <t>NO</t>
  </si>
  <si>
    <t xml:space="preserve"> </t>
  </si>
  <si>
    <t>UPDATE</t>
  </si>
  <si>
    <t>NAME</t>
  </si>
  <si>
    <t>KW</t>
  </si>
  <si>
    <t>PH</t>
  </si>
  <si>
    <t>LOCATION</t>
  </si>
  <si>
    <t>DISCOM</t>
  </si>
  <si>
    <t>K. NO</t>
  </si>
  <si>
    <t>MOBILE</t>
  </si>
  <si>
    <t>K.NO</t>
  </si>
  <si>
    <t>GMAIL</t>
  </si>
  <si>
    <t>GPS / LINK</t>
  </si>
  <si>
    <t>QUATATION IN BANK</t>
  </si>
  <si>
    <t>FINAL DEAL with client</t>
  </si>
  <si>
    <t>LOAN</t>
  </si>
  <si>
    <t>Cash</t>
  </si>
  <si>
    <t>File Login</t>
  </si>
  <si>
    <t>Subsidy</t>
  </si>
  <si>
    <t>Bank file / Cash</t>
  </si>
  <si>
    <t>Work status</t>
  </si>
  <si>
    <t>FINAL DEAL WITH CLIENT</t>
  </si>
  <si>
    <t>DISCOM WORK</t>
  </si>
  <si>
    <t>DEAL WITH MSS</t>
  </si>
  <si>
    <t>Payment status</t>
  </si>
  <si>
    <t>1ST INSTALLMENT</t>
  </si>
  <si>
    <t>CASH</t>
  </si>
  <si>
    <t>2ND INATALLMENT</t>
  </si>
  <si>
    <t>FILE LOGIN</t>
  </si>
  <si>
    <t>CASH TO MSS</t>
  </si>
  <si>
    <t>SUBSIDY</t>
  </si>
  <si>
    <t>Bank due</t>
  </si>
  <si>
    <t>BANK FILE/CASH</t>
  </si>
  <si>
    <t>CASH DUE FROM CLIENT</t>
  </si>
  <si>
    <t>WORK STATUS</t>
  </si>
  <si>
    <t>NET DUE TO MSS</t>
  </si>
  <si>
    <t>TOTAL Payment recieved</t>
  </si>
  <si>
    <t>PAYMENT STATUS</t>
  </si>
  <si>
    <t>Amount to us</t>
  </si>
  <si>
    <t>Amount still with askshakti</t>
  </si>
  <si>
    <t>Total amount</t>
  </si>
  <si>
    <t>REMARK</t>
  </si>
  <si>
    <t>PAYMENT WITH PARTNER</t>
  </si>
  <si>
    <t>BANK DUE</t>
  </si>
  <si>
    <t>CASH DUE TO MSS</t>
  </si>
  <si>
    <t>TOTAL  PAYMENT RECIVED</t>
  </si>
  <si>
    <t>Ajay ji</t>
  </si>
  <si>
    <t>Remark</t>
  </si>
  <si>
    <t>AANANDI LAL</t>
  </si>
  <si>
    <t>3KW</t>
  </si>
  <si>
    <t>JOBNER</t>
  </si>
  <si>
    <t xml:space="preserve">docs hi nahi aaye poore,
client ne site lagwane se mna kar dia </t>
  </si>
  <si>
    <t>MEWARAM</t>
  </si>
  <si>
    <t>5KW</t>
  </si>
  <si>
    <t>HATOJ</t>
  </si>
  <si>
    <t>File login</t>
  </si>
  <si>
    <t>Center (78K)</t>
  </si>
  <si>
    <t>Doc Recieved</t>
  </si>
  <si>
    <t>Loan Rejected</t>
  </si>
  <si>
    <t>Project On Hold</t>
  </si>
  <si>
    <t>Loan apply</t>
  </si>
  <si>
    <t xml:space="preserve">CIBIL DOWN, LOAN REJECT HO GYA H </t>
  </si>
  <si>
    <t>TARA KUMAWAT</t>
  </si>
  <si>
    <t>Pending</t>
  </si>
  <si>
    <t>Payment Not Received Yet</t>
  </si>
  <si>
    <t>GOPALLAL8232@GMAIL.COM</t>
  </si>
  <si>
    <t>RAM SINGH</t>
  </si>
  <si>
    <t>Govindpura</t>
  </si>
  <si>
    <t>JHOTWARA</t>
  </si>
  <si>
    <t>COMPLETED</t>
  </si>
  <si>
    <t>NAURATMAL KUMAWAT</t>
  </si>
  <si>
    <t>Both (78 + 17)</t>
  </si>
  <si>
    <t>3PH</t>
  </si>
  <si>
    <t>GANDHI PATH</t>
  </si>
  <si>
    <t>BINAYAKA</t>
  </si>
  <si>
    <t>kumawatnauratmal@gmail.com</t>
  </si>
  <si>
    <t>cibil kharab hai</t>
  </si>
  <si>
    <t>RAJENDRA KUMAR KUMAWAT</t>
  </si>
  <si>
    <t>MATH BHAINSAWA</t>
  </si>
  <si>
    <t>SHEELA PATHRIYA</t>
  </si>
  <si>
    <t>SANGANERI GATE</t>
  </si>
  <si>
    <t>AADRSH NAGAR</t>
  </si>
  <si>
    <t>PRADEEPPATHARIA7@GMAIL.COM</t>
  </si>
  <si>
    <t>SAROJ SONI</t>
  </si>
  <si>
    <t>4KW</t>
  </si>
  <si>
    <t>GOKULPURA</t>
  </si>
  <si>
    <t>BHUPESHSONI1114@GMAIL.COM</t>
  </si>
  <si>
    <t>SANTOSH KUMAWAT</t>
  </si>
  <si>
    <t>MANCHAWA</t>
  </si>
  <si>
    <t>KALWAR</t>
  </si>
  <si>
    <t>COMPLET</t>
  </si>
  <si>
    <t>kumawathajarilal026@gmail.com</t>
  </si>
  <si>
    <t>Loan approved</t>
  </si>
  <si>
    <t>I&amp;C Completed</t>
  </si>
  <si>
    <t>Subsidy granted</t>
  </si>
  <si>
    <t>2ns Installment Received</t>
  </si>
  <si>
    <t>LOAN REJECT</t>
  </si>
  <si>
    <t>SANGRAM SINGH</t>
  </si>
  <si>
    <t>NIWARU</t>
  </si>
  <si>
    <t>Shalimar Choraha</t>
  </si>
  <si>
    <t>ARVINDSINGHRAJAWAT128@GMAIL.COM</t>
  </si>
  <si>
    <t xml:space="preserve">RAKESH KUMAR VERMA </t>
  </si>
  <si>
    <t>MANCHWA</t>
  </si>
  <si>
    <t>RAKESHVERMA957975@GMAIL.COM</t>
  </si>
  <si>
    <t xml:space="preserve"> completed</t>
  </si>
  <si>
    <t>NITIN KUMAR</t>
  </si>
  <si>
    <t>KHATUSHAYM JI</t>
  </si>
  <si>
    <t>KHATUSHYAM JI</t>
  </si>
  <si>
    <t>rakeshtitu2011@gmail.com</t>
  </si>
  <si>
    <t>SARIKA NAREDI</t>
  </si>
  <si>
    <t>1PH</t>
  </si>
  <si>
    <t>JISINGHPURA KHOR</t>
  </si>
  <si>
    <t>AMBER</t>
  </si>
  <si>
    <t>Mh1376@GMAIL.COM</t>
  </si>
  <si>
    <t>DAL CHAND</t>
  </si>
  <si>
    <t>CASH FILE</t>
  </si>
  <si>
    <t>KHEJDAWAS</t>
  </si>
  <si>
    <t>file close</t>
  </si>
  <si>
    <t>Cash To Mahi</t>
  </si>
  <si>
    <t>SANTOSH DEVI</t>
  </si>
  <si>
    <t>VKBAJAG176@GMAIL.COM</t>
  </si>
  <si>
    <t>PANCHAYAWALA</t>
  </si>
  <si>
    <t>BINDAYAKA</t>
  </si>
  <si>
    <t>sumitjyani505@gmail.com</t>
  </si>
  <si>
    <t>completed
24910 pending</t>
  </si>
  <si>
    <t>SAROJ DEVI</t>
  </si>
  <si>
    <t>6KW</t>
  </si>
  <si>
    <t>GOVINDPURA</t>
  </si>
  <si>
    <t>amitimmis@gmail.com</t>
  </si>
  <si>
    <t>Done</t>
  </si>
  <si>
    <t>Payment Due</t>
  </si>
  <si>
    <t>REKHA DEVI</t>
  </si>
  <si>
    <t>MANGLI DEVI</t>
  </si>
  <si>
    <t>MKMUKESHKUMAWAT5592@GMAIL.COM</t>
  </si>
  <si>
    <t>26°57'46.6"N 75°40'30.0"E</t>
  </si>
  <si>
    <t>SURESH CHAND KUMAWAT</t>
  </si>
  <si>
    <t>OKUMAWARA@GMAIL.COM</t>
  </si>
  <si>
    <t>27.05521, 75.48053</t>
  </si>
  <si>
    <t>80k cash pending</t>
  </si>
  <si>
    <t>DEEPCHAND KUMAWAT</t>
  </si>
  <si>
    <t>deepakkumawat292@gmail.com</t>
  </si>
  <si>
    <t xml:space="preserve">completed
</t>
  </si>
  <si>
    <t>HARSHVARDHAN SINGH RAGHAV</t>
  </si>
  <si>
    <t>5 KW</t>
  </si>
  <si>
    <t>LALCHANDPURA</t>
  </si>
  <si>
    <t>HARSHARDHANRAGHAV6@GMAIL.COM</t>
  </si>
  <si>
    <t>26°59'11.5"N 75°40'49.2"E</t>
  </si>
  <si>
    <t>JAY NARAYAN KUMAWAT</t>
  </si>
  <si>
    <t>KUMAWATJNK1983@GMAIL.COM</t>
  </si>
  <si>
    <t xml:space="preserve">55k cash </t>
  </si>
  <si>
    <t>MAHESH YADAV</t>
  </si>
  <si>
    <t>1998yadavradheshyam@gmail.com</t>
  </si>
  <si>
    <t>Vinod Kumar Sharma</t>
  </si>
  <si>
    <t>3kw</t>
  </si>
  <si>
    <t>20k cash pending</t>
  </si>
  <si>
    <t>RAKDAK87@GMAIL.COM</t>
  </si>
  <si>
    <t>RAJENDRA SINGH</t>
  </si>
  <si>
    <t>RAJENDRARUNDAL852@GMAIL.COM</t>
  </si>
  <si>
    <t>completed, 
21K PENDING</t>
  </si>
  <si>
    <t>KAVITA DEVI</t>
  </si>
  <si>
    <t>PRAKASH DEVI</t>
  </si>
  <si>
    <t>AKAUSHIK84@GMAIL.COM</t>
  </si>
  <si>
    <t>KARTIKCHOUDHARY183@GMAIL.COM</t>
  </si>
  <si>
    <t>12k given to client by ajay ji</t>
  </si>
  <si>
    <t>SHRWAN KUMAR BUNKAR</t>
  </si>
  <si>
    <t>SARNA CHAUR</t>
  </si>
  <si>
    <t>SARVANK48793@GMAIL.COM</t>
  </si>
  <si>
    <t>GOPAL LAL KUMAWAT</t>
  </si>
  <si>
    <t>GLKUMAWAT08@GMAIL.COM</t>
  </si>
  <si>
    <t>https://maps.app.goo.gl/fYhfGgfQbPoqGxGo7</t>
  </si>
  <si>
    <t>MAHESH KUMAR YADAV</t>
  </si>
  <si>
    <t>BASDI KALAN</t>
  </si>
  <si>
    <t>radheshyam7232047130@gmail.com</t>
  </si>
  <si>
    <t>RAMNARAYAN KUMAWAT</t>
  </si>
  <si>
    <t>60k 2nd installment pending</t>
  </si>
  <si>
    <t>RAM KISHOR SHARMA</t>
  </si>
  <si>
    <t>KUMAWATPRAMVEER@GMAIL.COM</t>
  </si>
  <si>
    <t>3F4J+J7, Beniya Ka Bas, Rajasthan 303124</t>
  </si>
  <si>
    <t>RAMKISHOR124@GMAIL.COM</t>
  </si>
  <si>
    <t>1st installment</t>
  </si>
  <si>
    <t>CASH - 20k pending</t>
  </si>
  <si>
    <t>RANVIR DHAYAL (Haldighati)</t>
  </si>
  <si>
    <t>10KW</t>
  </si>
  <si>
    <t>KHIRNI FATAK</t>
  </si>
  <si>
    <t>MANJU KUMARI YADAV</t>
  </si>
  <si>
    <t>Mangalam City</t>
  </si>
  <si>
    <t>WITH OUT SUBSIDY</t>
  </si>
  <si>
    <t>MKYADAV0591@GMAIL.COM</t>
  </si>
  <si>
    <t>Net Metering</t>
  </si>
  <si>
    <t>100000
17 march energy wale acc me daale</t>
  </si>
  <si>
    <t>90k cash pending</t>
  </si>
  <si>
    <t>SHER BANO (Ali site)</t>
  </si>
  <si>
    <t>SANJAY NAGAR</t>
  </si>
  <si>
    <t>SHALIMAR_CHORHA</t>
  </si>
  <si>
    <t>AYUBALIKHAN5076@GMAIL.COM</t>
  </si>
  <si>
    <t>Sitraram</t>
  </si>
  <si>
    <t>Begus</t>
  </si>
  <si>
    <t>BAGRU</t>
  </si>
  <si>
    <t>KUMAWATANNU70@GMAIL.COM</t>
  </si>
  <si>
    <t>cash file &amp; 90k pending
50k cheque pending hai apne paas rakha hua
complete from our end, ajay ji has meter</t>
  </si>
  <si>
    <t>MEGHA SHEKHAWAT (Mayur)</t>
  </si>
  <si>
    <t>BHANKROTA</t>
  </si>
  <si>
    <t>MEGHASNGH133@GMAIL.COM</t>
  </si>
  <si>
    <t>Lakshmi Devi</t>
  </si>
  <si>
    <t>Subsidy apply with site photo</t>
  </si>
  <si>
    <t>KANDARP076@GMAIL.COM</t>
  </si>
  <si>
    <t>18A, Radha Vihar, Roop Nagar, Jaipur, Rajasthan 302044</t>
  </si>
  <si>
    <t>50000 cheque</t>
  </si>
  <si>
    <t>MOHAN LAL JAT</t>
  </si>
  <si>
    <t>PHULERA</t>
  </si>
  <si>
    <t>SAMBHAR</t>
  </si>
  <si>
    <t>ASHOKCHOUDHARY7297917191@GMAIL.COM</t>
  </si>
  <si>
    <t>SURAJ MAL KUMAWAT</t>
  </si>
  <si>
    <t>SURAJMAMTA132@GMAIL.COM</t>
  </si>
  <si>
    <t>RAMSWAROOP DEGRA</t>
  </si>
  <si>
    <t>DHANI BORAJ</t>
  </si>
  <si>
    <t>RAMSWARPPO.DEGRA@GMAIL.COM</t>
  </si>
  <si>
    <t xml:space="preserve">SUBSIDY </t>
  </si>
  <si>
    <t>BHARAT SINGH</t>
  </si>
  <si>
    <t>1k kabhi nahi dega, update deal with client</t>
  </si>
  <si>
    <t>ITSBHARATSINGH559@GMAIL.COM</t>
  </si>
  <si>
    <t>KRISHAN MURARI</t>
  </si>
  <si>
    <t>KMSINGH81276@GMAIL.COM</t>
  </si>
  <si>
    <t>MOHAN LAL  kumawat</t>
  </si>
  <si>
    <t>KISHANKUMARKUMAWAT15081994@GMAIL.COM</t>
  </si>
  <si>
    <t>RAM NARAYAN KUMAWAT</t>
  </si>
  <si>
    <t>MUKESHKUMAWAT0514@GMAIL.COM</t>
  </si>
  <si>
    <t>26°57'25.3"N 75°43'06.8"E</t>
  </si>
  <si>
    <t>MENKA SETHI</t>
  </si>
  <si>
    <t>VAISHALI NAGAR</t>
  </si>
  <si>
    <t>Rsethi762@gmail.com</t>
  </si>
  <si>
    <t>KAMLA DEVI</t>
  </si>
  <si>
    <t>DEVILCHOUDHARY08@GMAIL.COM</t>
  </si>
  <si>
    <t>26°57'09.6"N 75°40'53.5"E</t>
  </si>
  <si>
    <t>SUBSIDY ,2ND PAYMENT PENDING</t>
  </si>
  <si>
    <t>RUPKALA</t>
  </si>
  <si>
    <t>IAMSHUBHAM0905@GMAIL.COM</t>
  </si>
  <si>
    <t>1st Installment Received</t>
  </si>
  <si>
    <t>COMPLETED
50k pending</t>
  </si>
  <si>
    <t>SITA RAM KUMAWAT</t>
  </si>
  <si>
    <t xml:space="preserve">TRILOK CHAND SONI </t>
  </si>
  <si>
    <t>BHESALANA</t>
  </si>
  <si>
    <t>RENWAL</t>
  </si>
  <si>
    <t>HLSUNIL811@GMAIL.COM</t>
  </si>
  <si>
    <t>374V+3F8, Bhainslana, Bijarniyon Ka Bas, Rajasthan 303328</t>
  </si>
  <si>
    <t>mahendrasoni1992@gmail.com</t>
  </si>
  <si>
    <t>50000 PENDING
will pay when subsidy will be granted</t>
  </si>
  <si>
    <t>ANJU SINSINWAR</t>
  </si>
  <si>
    <t>RAKESHSANGA89@GMAIL.COM</t>
  </si>
  <si>
    <t>26°56'39.1"N 75°42'53.7"E</t>
  </si>
  <si>
    <t xml:space="preserve">Rakesh Kumawat </t>
  </si>
  <si>
    <t>5kw</t>
  </si>
  <si>
    <t>SHALIMAR CHORHA</t>
  </si>
  <si>
    <t>RAKESHKUMAWA151515@GMAIL.COM</t>
  </si>
  <si>
    <t>COMPLETED
6k pending</t>
  </si>
  <si>
    <t>RAJENDRA</t>
  </si>
  <si>
    <t>MANGLM CITY</t>
  </si>
  <si>
    <t>UY8561416@GMAIL.COM</t>
  </si>
  <si>
    <t>1C, Hathod, Rajasthan 302044</t>
  </si>
  <si>
    <t>SUBSIDY,2ND PAYMENT PENDING</t>
  </si>
  <si>
    <t>SUMAN KANWAR</t>
  </si>
  <si>
    <t>CABSJAIPURSIGHTSEEING@GMAIL.COM</t>
  </si>
  <si>
    <t>6000 CLIENT NHI DEGA</t>
  </si>
  <si>
    <t>SOURABH PRADHAN</t>
  </si>
  <si>
    <t xml:space="preserve">SANGANER </t>
  </si>
  <si>
    <t>SANGANER</t>
  </si>
  <si>
    <t>souravhpradhan@gmail.com</t>
  </si>
  <si>
    <t>26°45'47.5"N 75°51'24.3"E</t>
  </si>
  <si>
    <t xml:space="preserve">KAMLI DEVI </t>
  </si>
  <si>
    <t>karangolada96@gmail.com</t>
  </si>
  <si>
    <t>RAM RUP SINGH (satendra)</t>
  </si>
  <si>
    <t>3+7KW</t>
  </si>
  <si>
    <t>SINGHSATYENDRA5450@GMAIL.COM</t>
  </si>
  <si>
    <t xml:space="preserve">RAJENDRA SETHI </t>
  </si>
  <si>
    <t>15KW</t>
  </si>
  <si>
    <t>SIRSI</t>
  </si>
  <si>
    <t>RSETHI762@GMAIL.COM</t>
  </si>
  <si>
    <t>Structure Work</t>
  </si>
  <si>
    <t>pending</t>
  </si>
  <si>
    <t>SUBSIDY PENDING</t>
  </si>
  <si>
    <t>Dakhli devi</t>
  </si>
  <si>
    <t>6kw</t>
  </si>
  <si>
    <t>HEMRAJ0108@GMAIL.COM</t>
  </si>
  <si>
    <t>XM2W+RV Jaipur, Rajasthan</t>
  </si>
  <si>
    <t>BHAGWATI DEVI</t>
  </si>
  <si>
    <t>GOPAL.GUJAR0205@GMAIL.COM</t>
  </si>
  <si>
    <t>site work pending hai abhi</t>
  </si>
  <si>
    <t xml:space="preserve">KANA RAM GURJAR </t>
  </si>
  <si>
    <t>inverter ka pending hai abhi tak hisaab</t>
  </si>
  <si>
    <t>Meter &amp; File submit DISCOM</t>
  </si>
  <si>
    <t xml:space="preserve">SONI DEVI </t>
  </si>
  <si>
    <t>Arjun Lal Kumawat</t>
  </si>
  <si>
    <t>ALKUMAWAT6487@GMAIL.COM</t>
  </si>
  <si>
    <t>26°57'10.1"N 75°41'49.9"E</t>
  </si>
  <si>
    <t>SAROJ KANWAR</t>
  </si>
  <si>
    <t>VIRENDRA KUMAR SAWAMI</t>
  </si>
  <si>
    <t>SEEMA DEVI</t>
  </si>
  <si>
    <t>BHAINSAWA</t>
  </si>
  <si>
    <t>SALIMAR CHORAHA</t>
  </si>
  <si>
    <t>mohitswami2772006@gmail.com</t>
  </si>
  <si>
    <t>27°05'13.3"N 75°29'09.1"E</t>
  </si>
  <si>
    <t>jaswantkushwaha97@gmail.com</t>
  </si>
  <si>
    <t>Quatation</t>
  </si>
  <si>
    <t>Final deal</t>
  </si>
  <si>
    <t>Discom</t>
  </si>
  <si>
    <t>GOPAL LAL SEPAT</t>
  </si>
  <si>
    <t>HARSH KEDIA</t>
  </si>
  <si>
    <t>7KW</t>
  </si>
  <si>
    <t>BHIKHAWAS</t>
  </si>
  <si>
    <t>MURLIPURA</t>
  </si>
  <si>
    <t>RAJESHSEPT@GMAIL.COM</t>
  </si>
  <si>
    <t>https://maps.app.goo.gl/Z7YwBFg2eqwEr8Se8?g_st=aw</t>
  </si>
  <si>
    <t>paid directly as commision amount</t>
  </si>
  <si>
    <t>Panel</t>
  </si>
  <si>
    <t>Cash to mahi</t>
  </si>
  <si>
    <t xml:space="preserve">COMPLETED </t>
  </si>
  <si>
    <t>MALIRAM YADAV</t>
  </si>
  <si>
    <t>KHERI MILAK</t>
  </si>
  <si>
    <t>PRAHALADSYADAV1985@GMAIL.COM</t>
  </si>
  <si>
    <t>27°04'30.5"N 75°25'10.1"E</t>
  </si>
  <si>
    <t>KAJOD MAL YADAV</t>
  </si>
  <si>
    <t>payment DUE</t>
  </si>
  <si>
    <t xml:space="preserve">PAWAN SHARMA </t>
  </si>
  <si>
    <t>BHAMBHORI</t>
  </si>
  <si>
    <t xml:space="preserve">BHAGCHAND </t>
  </si>
  <si>
    <t>RAJUBADIWAL7@GMAIL.COM</t>
  </si>
  <si>
    <t>27°10'27.5"N 75°21'58.2"E</t>
  </si>
  <si>
    <t xml:space="preserve">GEETA DEVI </t>
  </si>
  <si>
    <t>RAM LAL YADAV</t>
  </si>
  <si>
    <t>11KW</t>
  </si>
  <si>
    <t>CUSTOMER KE PASS TIME NHI BANK ME SIGNATURE KRNE KA
ab call nahi utha rha h
MK ko baat krna pdega</t>
  </si>
  <si>
    <t>GOPAL LAL</t>
  </si>
  <si>
    <t>RAMAWATARKHEDAWAS@GMAIL.COM</t>
  </si>
  <si>
    <t>Work Not Started Yet</t>
  </si>
  <si>
    <t>RAM RAM POLYMERS</t>
  </si>
  <si>
    <t>100kw</t>
  </si>
  <si>
    <t>sarna doongar</t>
  </si>
  <si>
    <t>BADPEEPLI</t>
  </si>
  <si>
    <t>RAVINDAR TANWAR</t>
  </si>
  <si>
    <t>80KW</t>
  </si>
  <si>
    <t>PAISE KI COMFIRM BTAA KRNI H CUSTMER SE
MK se update lena hai ispar</t>
  </si>
  <si>
    <t>KAMALI DEVI YADAV</t>
  </si>
  <si>
    <t>SUNDARAPURA</t>
  </si>
  <si>
    <t>SSYADAV999888@GMAIL.COM</t>
  </si>
  <si>
    <t>project on HOLD</t>
  </si>
  <si>
    <t>File into bank</t>
  </si>
  <si>
    <t>MURARKA</t>
  </si>
  <si>
    <t>50KW</t>
  </si>
  <si>
    <t xml:space="preserve">LOAN REJECT  / CASH KE LIYE BOL RHA H 
shripal ji update </t>
  </si>
  <si>
    <t>RATANI DEVI</t>
  </si>
  <si>
    <t>ANKITBAJAD92@GMAIL.COM</t>
  </si>
  <si>
    <t>CIVIL down (possible cash me hoga file)
MK se udpate ispar</t>
  </si>
  <si>
    <t>RAVINDRA TANWAR</t>
  </si>
  <si>
    <t>JALSOO</t>
  </si>
  <si>
    <t>BHAWARI DEVI</t>
  </si>
  <si>
    <t>RAVINDRATANWAR23@GMAIL.COM</t>
  </si>
  <si>
    <t>MUKESH SAINI</t>
  </si>
  <si>
    <t>JOSIH MARK</t>
  </si>
  <si>
    <t>ABHI TK ESKE PROPERTY  DOUMENT NHI AAYE H, 
CALL NHI UTHA H MAHI KO BOLA THA CALL KE LIYE
MK se udpate</t>
  </si>
  <si>
    <t>Omprakash Yadav</t>
  </si>
  <si>
    <t>Basdi</t>
  </si>
  <si>
    <t>document lena hai (MK)</t>
  </si>
  <si>
    <t>GOPAL  YADAV (ramlal)</t>
  </si>
  <si>
    <t>MILKPUR, GOVINDGARH</t>
  </si>
  <si>
    <t>GOVINDGHAR</t>
  </si>
  <si>
    <t>RAMLALYADAV98575@GMAIL.COM</t>
  </si>
  <si>
    <t>not a single details MK
mk se update</t>
  </si>
  <si>
    <t xml:space="preserve">RAMLAL </t>
  </si>
  <si>
    <t>MATH</t>
  </si>
  <si>
    <t xml:space="preserve">HAMENT </t>
  </si>
  <si>
    <t xml:space="preserve">MK se update </t>
  </si>
  <si>
    <t>GURUKUL ITI</t>
  </si>
  <si>
    <t>No</t>
  </si>
  <si>
    <t>Client</t>
  </si>
  <si>
    <t>Location</t>
  </si>
  <si>
    <t>DIMAND JAMAA KRA DIYA H PASSBOOK SEND NHI KR RHE H
MK se update</t>
  </si>
  <si>
    <t>LALCHAND SAINI</t>
  </si>
  <si>
    <t>PENDING AMOUNT</t>
  </si>
  <si>
    <t>lalchandsaini1575@gmail.com</t>
  </si>
  <si>
    <t>RAWAN GET SITE 5KW</t>
  </si>
  <si>
    <t>2nd installment</t>
  </si>
  <si>
    <t>NIRMAN NAGR SITE 6KW</t>
  </si>
  <si>
    <t>NIRMAN NAGAR</t>
  </si>
  <si>
    <t>RAWAN GET SITE 10KW</t>
  </si>
  <si>
    <t>QUATATION</t>
  </si>
  <si>
    <t>FINAL DEAL</t>
  </si>
  <si>
    <t>PAYMENT TO US</t>
  </si>
  <si>
    <t>2ND INSTALLMENT</t>
  </si>
  <si>
    <t>TOTAL</t>
  </si>
  <si>
    <t>VENDOR REMOVE</t>
  </si>
  <si>
    <t>RATAN LAL</t>
  </si>
  <si>
    <t xml:space="preserve">S.R.  </t>
  </si>
  <si>
    <t>Site Visit</t>
  </si>
  <si>
    <t>SITE NAME</t>
  </si>
  <si>
    <t>AMOUNT</t>
  </si>
  <si>
    <t>BHARATPUR</t>
  </si>
  <si>
    <t>KUMBER</t>
  </si>
  <si>
    <t>PREMJIT</t>
  </si>
  <si>
    <t>RAJ KUMAR</t>
  </si>
  <si>
    <t>rajkumartam578@gmail.com</t>
  </si>
  <si>
    <t>KAMALI DEVI</t>
  </si>
  <si>
    <t>CANCLE</t>
  </si>
  <si>
    <t>UNESH KUMAR</t>
  </si>
  <si>
    <t>choudharyunesh2@gmail.com</t>
  </si>
  <si>
    <t>JITENDRA CHOUDHARY</t>
  </si>
  <si>
    <t>ALWAR</t>
  </si>
  <si>
    <t>LAXMANGARH</t>
  </si>
  <si>
    <t>LOAN APPLY</t>
  </si>
  <si>
    <t>AJAY SINGH</t>
  </si>
  <si>
    <t>KATHOOMAR</t>
  </si>
  <si>
    <t>ajaysinghssb@gmail.com</t>
  </si>
  <si>
    <t>TARESH SHARMA</t>
  </si>
  <si>
    <t>tareshsharama@gmail.com</t>
  </si>
  <si>
    <t>SHIV LAL</t>
  </si>
  <si>
    <r>
      <rPr>
        <rFont val="Calibri, sans-serif"/>
        <color rgb="FF000000"/>
        <sz val="11.0"/>
        <u/>
      </rPr>
      <t>ANILJI0085@GMAIL.COM</t>
    </r>
  </si>
  <si>
    <t>SUJATA</t>
  </si>
  <si>
    <t>MIA</t>
  </si>
  <si>
    <r>
      <rPr>
        <rFont val="Calibri, sans-serif"/>
        <color rgb="FF000000"/>
        <sz val="11.0"/>
        <u/>
      </rPr>
      <t>AJAY.ALWAR777@GMAIL.COM</t>
    </r>
  </si>
  <si>
    <t>RAM NARAYAN KYMAWAT</t>
  </si>
  <si>
    <t>PAN NHI H</t>
  </si>
  <si>
    <t>UDAI SINGH</t>
  </si>
  <si>
    <t>DEEG</t>
  </si>
  <si>
    <t>RAHUL KUMAR</t>
  </si>
  <si>
    <t>RAHULRAJANA5@GMAIL.COM</t>
  </si>
  <si>
    <t>VIRENDRA SINGH</t>
  </si>
  <si>
    <t>BANK NOT SHOW</t>
  </si>
  <si>
    <t>NAVEEN</t>
  </si>
  <si>
    <t>PRAHALA SINGH</t>
  </si>
  <si>
    <t>MANOJ</t>
  </si>
  <si>
    <t>CHOUDHARYMANOJ9535@GMAIL.COM</t>
  </si>
  <si>
    <t>BHIM SINGH</t>
  </si>
  <si>
    <t>sitaramrayana00@gmail.com</t>
  </si>
  <si>
    <t>DEVO</t>
  </si>
  <si>
    <t>BHARATPURA</t>
  </si>
  <si>
    <t>BRIJNAGAR</t>
  </si>
  <si>
    <t>rp469603@gmil.com</t>
  </si>
  <si>
    <t>BHAGVAN SINGH</t>
  </si>
  <si>
    <t>MUNESH DHAKAR</t>
  </si>
  <si>
    <t>OMVEER SINGH</t>
  </si>
  <si>
    <t>OMVERRSINGH61994@GMAIL.COM</t>
  </si>
  <si>
    <t>SEESRAM GURJAR</t>
  </si>
  <si>
    <t>KHERLI</t>
  </si>
  <si>
    <t xml:space="preserve">     98291 29403</t>
  </si>
  <si>
    <t>DHAKHA DEVI</t>
  </si>
  <si>
    <t>MOHAN LAL</t>
  </si>
  <si>
    <t>NAURATMAL KUAMWAT</t>
  </si>
  <si>
    <t>SITARAM KUMAWAT</t>
  </si>
  <si>
    <t>RAM RUP SINGH</t>
  </si>
  <si>
    <t>HARSHVARDHAN SINGH</t>
  </si>
  <si>
    <t>TRILOK CHAND SONI</t>
  </si>
  <si>
    <t>KRISHAN MURARI SINGH</t>
  </si>
  <si>
    <t>VIRENDRA KUMAR SAWAMI\</t>
  </si>
  <si>
    <t>SOURRABH PRADHAN</t>
  </si>
  <si>
    <t>SHRE BANO</t>
  </si>
  <si>
    <t>MEGHA SHEKHAWAT</t>
  </si>
  <si>
    <t>MAHESH KUMAR</t>
  </si>
  <si>
    <t xml:space="preserve">LAXMI DEVI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</si>
</sst>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 mmm"/>
  </numFmts>
  <fonts count="19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Calibri"/>
    </font>
    <font>
      <b/>
      <u/>
      <sz val="11.0"/>
      <color rgb="FF1155CC"/>
      <name val="Calibri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sz val="11.0"/>
      <color theme="1"/>
      <name val="Calibri"/>
    </font>
    <font>
      <color theme="1"/>
      <name val="Arial"/>
    </font>
    <font>
      <u/>
      <color theme="1"/>
      <name val="Arial"/>
      <scheme val="minor"/>
    </font>
    <font>
      <color rgb="FF1F1F1F"/>
      <name val="&quot;Google Sans&quot;"/>
    </font>
    <font>
      <u/>
      <color rgb="FF0000FF"/>
    </font>
    <font>
      <u/>
      <sz val="11.0"/>
      <color rgb="FF000000"/>
      <name val="Calibri"/>
    </font>
    <font>
      <sz val="11.0"/>
      <color rgb="FF1F1F1F"/>
      <name val="&quot;Google Sans Text&quot;"/>
    </font>
    <font>
      <b/>
      <u/>
      <sz val="11.0"/>
      <color rgb="FF000000"/>
      <name val="Calibri"/>
    </font>
    <font>
      <sz val="10.0"/>
      <color theme="1"/>
      <name val="Arial"/>
      <scheme val="minor"/>
    </font>
    <font>
      <u/>
      <sz val="11.0"/>
      <color rgb="FF0000FF"/>
      <name val="Calibri"/>
    </font>
    <font>
      <u/>
      <sz val="11.0"/>
      <color rgb="FF000000"/>
      <name val="Calibri"/>
    </font>
  </fonts>
  <fills count="12">
    <fill>
      <patternFill patternType="none"/>
    </fill>
    <fill>
      <patternFill patternType="lightGray"/>
    </fill>
    <fill>
      <patternFill patternType="solid">
        <fgColor rgb="FFFBBC04"/>
        <bgColor rgb="FFFBBC04"/>
      </patternFill>
    </fill>
    <fill>
      <patternFill patternType="solid">
        <fgColor theme="6"/>
        <bgColor theme="6"/>
      </patternFill>
    </fill>
    <fill>
      <patternFill patternType="solid">
        <fgColor rgb="FFFF9900"/>
        <bgColor rgb="FFFF9900"/>
      </patternFill>
    </fill>
    <fill>
      <patternFill patternType="solid">
        <fgColor rgb="FFE06666"/>
        <bgColor rgb="FFE0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2" fontId="2" numFmtId="0" xfId="0" applyAlignment="1" applyFont="1">
      <alignment readingOrder="0" vertical="bottom"/>
    </xf>
    <xf borderId="0" fillId="2" fontId="2" numFmtId="0" xfId="0" applyAlignment="1" applyFont="1">
      <alignment readingOrder="0" vertical="bottom"/>
    </xf>
    <xf borderId="0" fillId="2" fontId="3" numFmtId="0" xfId="0" applyAlignment="1" applyFont="1">
      <alignment vertical="bottom"/>
    </xf>
    <xf borderId="0" fillId="3" fontId="4" numFmtId="0" xfId="0" applyAlignment="1" applyFill="1" applyFont="1">
      <alignment readingOrder="0" shrinkToFit="0" vertical="bottom" wrapText="0"/>
    </xf>
    <xf borderId="0" fillId="3" fontId="5" numFmtId="0" xfId="0" applyAlignment="1" applyFont="1">
      <alignment readingOrder="0"/>
    </xf>
    <xf borderId="0" fillId="2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4" fontId="1" numFmtId="0" xfId="0" applyAlignment="1" applyFont="1">
      <alignment readingOrder="0" vertical="bottom"/>
    </xf>
    <xf borderId="0" fillId="3" fontId="5" numFmtId="0" xfId="0" applyFont="1"/>
    <xf borderId="0" fillId="3" fontId="5" numFmtId="164" xfId="0" applyAlignment="1" applyFont="1" applyNumberFormat="1">
      <alignment readingOrder="0"/>
    </xf>
    <xf borderId="0" fillId="3" fontId="5" numFmtId="0" xfId="0" applyAlignment="1" applyFont="1">
      <alignment horizontal="left" readingOrder="0"/>
    </xf>
    <xf borderId="0" fillId="0" fontId="6" numFmtId="0" xfId="0" applyAlignment="1" applyFont="1">
      <alignment readingOrder="0" shrinkToFit="0" vertical="bottom" wrapText="0"/>
    </xf>
    <xf borderId="0" fillId="5" fontId="6" numFmtId="0" xfId="0" applyAlignment="1" applyFill="1" applyFont="1">
      <alignment readingOrder="0" shrinkToFit="0" vertical="bottom" wrapText="0"/>
    </xf>
    <xf borderId="0" fillId="5" fontId="6" numFmtId="0" xfId="0" applyAlignment="1" applyFont="1">
      <alignment horizontal="right" readingOrder="0" shrinkToFit="0" vertical="bottom" wrapText="0"/>
    </xf>
    <xf borderId="0" fillId="5" fontId="6" numFmtId="0" xfId="0" applyAlignment="1" applyFont="1">
      <alignment horizontal="left" readingOrder="0" shrinkToFit="0" vertical="bottom" wrapText="0"/>
    </xf>
    <xf borderId="0" fillId="5" fontId="7" numFmtId="0" xfId="0" applyAlignment="1" applyFont="1">
      <alignment readingOrder="0"/>
    </xf>
    <xf borderId="0" fillId="0" fontId="5" numFmtId="0" xfId="0" applyAlignment="1" applyFont="1">
      <alignment readingOrder="0"/>
    </xf>
    <xf borderId="0" fillId="5" fontId="7" numFmtId="0" xfId="0" applyAlignment="1" applyFont="1">
      <alignment horizontal="left" readingOrder="0"/>
    </xf>
    <xf borderId="0" fillId="5" fontId="7" numFmtId="0" xfId="0" applyFont="1"/>
    <xf borderId="0" fillId="0" fontId="5" numFmtId="0" xfId="0" applyFont="1"/>
    <xf borderId="0" fillId="0" fontId="5" numFmtId="164" xfId="0" applyAlignment="1" applyFont="1" applyNumberFormat="1">
      <alignment readingOrder="0"/>
    </xf>
    <xf borderId="0" fillId="5" fontId="8" numFmtId="0" xfId="0" applyAlignment="1" applyFont="1">
      <alignment horizontal="right" readingOrder="0" vertical="bottom"/>
    </xf>
    <xf borderId="0" fillId="5" fontId="9" numFmtId="0" xfId="0" applyAlignment="1" applyFont="1">
      <alignment vertical="bottom"/>
    </xf>
    <xf borderId="0" fillId="5" fontId="9" numFmtId="0" xfId="0" applyAlignment="1" applyFont="1">
      <alignment horizontal="right" vertical="bottom"/>
    </xf>
    <xf borderId="0" fillId="5" fontId="9" numFmtId="0" xfId="0" applyAlignment="1" applyFont="1">
      <alignment readingOrder="0" vertical="bottom"/>
    </xf>
    <xf borderId="0" fillId="6" fontId="7" numFmtId="0" xfId="0" applyFill="1" applyFont="1"/>
    <xf borderId="0" fillId="7" fontId="7" numFmtId="0" xfId="0" applyAlignment="1" applyFill="1" applyFont="1">
      <alignment readingOrder="0"/>
    </xf>
    <xf borderId="0" fillId="5" fontId="8" numFmtId="0" xfId="0" applyAlignment="1" applyFont="1">
      <alignment horizontal="right" vertical="bottom"/>
    </xf>
    <xf borderId="0" fillId="5" fontId="8" numFmtId="0" xfId="0" applyAlignment="1" applyFont="1">
      <alignment vertical="bottom"/>
    </xf>
    <xf borderId="0" fillId="7" fontId="10" numFmtId="0" xfId="0" applyAlignment="1" applyFont="1">
      <alignment readingOrder="0"/>
    </xf>
    <xf borderId="0" fillId="6" fontId="7" numFmtId="0" xfId="0" applyAlignment="1" applyFont="1">
      <alignment readingOrder="0"/>
    </xf>
    <xf borderId="0" fillId="6" fontId="6" numFmtId="0" xfId="0" applyAlignment="1" applyFont="1">
      <alignment readingOrder="0" shrinkToFit="0" vertical="bottom" wrapText="0"/>
    </xf>
    <xf borderId="0" fillId="7" fontId="6" numFmtId="0" xfId="0" applyAlignment="1" applyFont="1">
      <alignment readingOrder="0" shrinkToFit="0" vertical="bottom" wrapText="0"/>
    </xf>
    <xf borderId="0" fillId="7" fontId="9" numFmtId="0" xfId="0" applyAlignment="1" applyFont="1">
      <alignment readingOrder="0" vertical="bottom"/>
    </xf>
    <xf borderId="0" fillId="5" fontId="9" numFmtId="0" xfId="0" applyAlignment="1" applyFont="1">
      <alignment horizontal="right" vertical="bottom"/>
    </xf>
    <xf borderId="0" fillId="7" fontId="7" numFmtId="0" xfId="0" applyFont="1"/>
    <xf borderId="0" fillId="7" fontId="9" numFmtId="0" xfId="0" applyAlignment="1" applyFont="1">
      <alignment horizontal="right" vertical="bottom"/>
    </xf>
    <xf borderId="0" fillId="7" fontId="6" numFmtId="0" xfId="0" applyAlignment="1" applyFont="1">
      <alignment horizontal="right" readingOrder="0" shrinkToFit="0" vertical="bottom" wrapText="0"/>
    </xf>
    <xf borderId="0" fillId="7" fontId="7" numFmtId="0" xfId="0" applyAlignment="1" applyFont="1">
      <alignment horizontal="left" readingOrder="0"/>
    </xf>
    <xf borderId="0" fillId="7" fontId="8" numFmtId="0" xfId="0" applyAlignment="1" applyFont="1">
      <alignment horizontal="right" readingOrder="0" vertical="bottom"/>
    </xf>
    <xf borderId="0" fillId="7" fontId="8" numFmtId="0" xfId="0" applyAlignment="1" applyFont="1">
      <alignment readingOrder="0" vertical="bottom"/>
    </xf>
    <xf borderId="0" fillId="7" fontId="9" numFmtId="0" xfId="0" applyAlignment="1" applyFont="1">
      <alignment vertical="bottom"/>
    </xf>
    <xf borderId="0" fillId="7" fontId="9" numFmtId="0" xfId="0" applyAlignment="1" applyFont="1">
      <alignment horizontal="right" vertical="bottom"/>
    </xf>
    <xf borderId="0" fillId="7" fontId="8" numFmtId="0" xfId="0" applyAlignment="1" applyFont="1">
      <alignment horizontal="right" vertical="bottom"/>
    </xf>
    <xf borderId="0" fillId="7" fontId="8" numFmtId="0" xfId="0" applyAlignment="1" applyFont="1">
      <alignment vertical="bottom"/>
    </xf>
    <xf borderId="0" fillId="7" fontId="9" numFmtId="0" xfId="0" applyAlignment="1" applyFont="1">
      <alignment horizontal="right" readingOrder="0" vertical="bottom"/>
    </xf>
    <xf borderId="0" fillId="0" fontId="9" numFmtId="0" xfId="0" applyAlignment="1" applyFont="1">
      <alignment vertical="bottom"/>
    </xf>
    <xf borderId="0" fillId="0" fontId="6" numFmtId="0" xfId="0" applyAlignment="1" applyFont="1">
      <alignment horizontal="right" readingOrder="0" shrinkToFit="0" vertical="bottom" wrapText="0"/>
    </xf>
    <xf borderId="0" fillId="0" fontId="9" numFmtId="164" xfId="0" applyAlignment="1" applyFont="1" applyNumberFormat="1">
      <alignment vertical="bottom"/>
    </xf>
    <xf borderId="0" fillId="7" fontId="6" numFmtId="0" xfId="0" applyAlignment="1" applyFont="1">
      <alignment horizontal="left" readingOrder="0" shrinkToFit="0" vertical="bottom" wrapText="0"/>
    </xf>
    <xf borderId="0" fillId="7" fontId="11" numFmtId="0" xfId="0" applyAlignment="1" applyFont="1">
      <alignment horizontal="left" readingOrder="0"/>
    </xf>
    <xf borderId="0" fillId="0" fontId="7" numFmtId="0" xfId="0" applyAlignment="1" applyFont="1">
      <alignment horizontal="left" readingOrder="0"/>
    </xf>
    <xf borderId="0" fillId="0" fontId="7" numFmtId="0" xfId="0" applyAlignment="1" applyFont="1">
      <alignment horizontal="left"/>
    </xf>
    <xf borderId="0" fillId="6" fontId="9" numFmtId="0" xfId="0" applyAlignment="1" applyFont="1">
      <alignment vertical="bottom"/>
    </xf>
    <xf borderId="0" fillId="7" fontId="12" numFmtId="0" xfId="0" applyAlignment="1" applyFont="1">
      <alignment readingOrder="0"/>
    </xf>
    <xf borderId="0" fillId="0" fontId="7" numFmtId="0" xfId="0" applyAlignment="1" applyFont="1">
      <alignment readingOrder="0"/>
    </xf>
    <xf borderId="0" fillId="6" fontId="9" numFmtId="0" xfId="0" applyAlignment="1" applyFont="1">
      <alignment readingOrder="0" vertical="bottom"/>
    </xf>
    <xf borderId="0" fillId="0" fontId="9" numFmtId="0" xfId="0" applyAlignment="1" applyFont="1">
      <alignment horizontal="right" vertical="bottom"/>
    </xf>
    <xf borderId="0" fillId="3" fontId="7" numFmtId="0" xfId="0" applyFont="1"/>
    <xf borderId="0" fillId="3" fontId="7" numFmtId="0" xfId="0" applyAlignment="1" applyFont="1">
      <alignment readingOrder="0"/>
    </xf>
    <xf borderId="0" fillId="3" fontId="6" numFmtId="0" xfId="0" applyAlignment="1" applyFont="1">
      <alignment readingOrder="0" shrinkToFit="0" vertical="bottom" wrapText="0"/>
    </xf>
    <xf borderId="0" fillId="3" fontId="9" numFmtId="0" xfId="0" applyAlignment="1" applyFont="1">
      <alignment vertical="bottom"/>
    </xf>
    <xf borderId="0" fillId="3" fontId="9" numFmtId="0" xfId="0" applyAlignment="1" applyFont="1">
      <alignment vertical="bottom"/>
    </xf>
    <xf borderId="0" fillId="3" fontId="9" numFmtId="0" xfId="0" applyAlignment="1" applyFont="1">
      <alignment horizontal="right" vertical="bottom"/>
    </xf>
    <xf borderId="0" fillId="3" fontId="9" numFmtId="0" xfId="0" applyAlignment="1" applyFont="1">
      <alignment horizontal="right" vertical="bottom"/>
    </xf>
    <xf borderId="0" fillId="3" fontId="8" numFmtId="0" xfId="0" applyAlignment="1" applyFont="1">
      <alignment vertical="bottom"/>
    </xf>
    <xf borderId="0" fillId="3" fontId="8" numFmtId="0" xfId="0" applyAlignment="1" applyFont="1">
      <alignment readingOrder="0" vertical="bottom"/>
    </xf>
    <xf borderId="0" fillId="3" fontId="9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 vertical="bottom"/>
    </xf>
    <xf borderId="0" fillId="6" fontId="6" numFmtId="0" xfId="0" applyAlignment="1" applyFont="1">
      <alignment horizontal="right" readingOrder="0" shrinkToFit="0" vertical="bottom" wrapText="0"/>
    </xf>
    <xf borderId="0" fillId="0" fontId="6" numFmtId="0" xfId="0" applyAlignment="1" applyFont="1">
      <alignment horizontal="left" readingOrder="0" shrinkToFit="0" vertical="bottom" wrapText="0"/>
    </xf>
    <xf borderId="0" fillId="0" fontId="5" numFmtId="3" xfId="0" applyAlignment="1" applyFont="1" applyNumberFormat="1">
      <alignment readingOrder="0"/>
    </xf>
    <xf borderId="0" fillId="7" fontId="13" numFmtId="0" xfId="0" applyAlignment="1" applyFont="1">
      <alignment readingOrder="0" shrinkToFit="0" vertical="bottom" wrapText="0"/>
    </xf>
    <xf borderId="0" fillId="7" fontId="14" numFmtId="0" xfId="0" applyAlignment="1" applyFont="1">
      <alignment readingOrder="0" vertical="top"/>
    </xf>
    <xf borderId="0" fillId="6" fontId="6" numFmtId="0" xfId="0" applyAlignment="1" applyFont="1">
      <alignment horizontal="left" readingOrder="0" shrinkToFit="0" vertical="bottom" wrapText="0"/>
    </xf>
    <xf borderId="0" fillId="8" fontId="6" numFmtId="0" xfId="0" applyAlignment="1" applyFill="1" applyFont="1">
      <alignment readingOrder="0" shrinkToFit="0" vertical="bottom" wrapText="0"/>
    </xf>
    <xf borderId="0" fillId="8" fontId="7" numFmtId="0" xfId="0" applyAlignment="1" applyFont="1">
      <alignment readingOrder="0"/>
    </xf>
    <xf borderId="0" fillId="8" fontId="7" numFmtId="0" xfId="0" applyFont="1"/>
    <xf borderId="0" fillId="0" fontId="7" numFmtId="0" xfId="0" applyFont="1"/>
    <xf borderId="0" fillId="9" fontId="7" numFmtId="0" xfId="0" applyAlignment="1" applyFill="1" applyFont="1">
      <alignment readingOrder="0"/>
    </xf>
    <xf borderId="0" fillId="9" fontId="7" numFmtId="0" xfId="0" applyFont="1"/>
    <xf borderId="0" fillId="9" fontId="6" numFmtId="0" xfId="0" applyAlignment="1" applyFont="1">
      <alignment readingOrder="0" shrinkToFit="0" vertical="bottom" wrapText="0"/>
    </xf>
    <xf borderId="0" fillId="6" fontId="7" numFmtId="0" xfId="0" applyAlignment="1" applyFont="1">
      <alignment horizontal="left"/>
    </xf>
    <xf borderId="0" fillId="6" fontId="7" numFmtId="0" xfId="0" applyAlignment="1" applyFont="1">
      <alignment horizontal="left" readingOrder="0"/>
    </xf>
    <xf borderId="0" fillId="3" fontId="15" numFmtId="0" xfId="0" applyAlignment="1" applyFont="1">
      <alignment readingOrder="0" shrinkToFit="0" vertical="bottom" wrapText="0"/>
    </xf>
    <xf borderId="0" fillId="3" fontId="4" numFmtId="0" xfId="0" applyAlignment="1" applyFont="1">
      <alignment readingOrder="0" shrinkToFit="0" vertical="bottom" wrapText="0"/>
    </xf>
    <xf borderId="0" fillId="6" fontId="16" numFmtId="0" xfId="0" applyAlignment="1" applyFont="1">
      <alignment readingOrder="0"/>
    </xf>
    <xf borderId="0" fillId="0" fontId="16" numFmtId="0" xfId="0" applyAlignment="1" applyFont="1">
      <alignment readingOrder="0"/>
    </xf>
    <xf borderId="0" fillId="4" fontId="7" numFmtId="0" xfId="0" applyAlignment="1" applyFont="1">
      <alignment readingOrder="0"/>
    </xf>
    <xf borderId="0" fillId="0" fontId="17" numFmtId="0" xfId="0" applyAlignment="1" applyFont="1">
      <alignment shrinkToFit="0" vertical="bottom" wrapText="0"/>
    </xf>
    <xf borderId="0" fillId="0" fontId="7" numFmtId="0" xfId="0" applyAlignment="1" applyFont="1">
      <alignment horizontal="left" readingOrder="0" shrinkToFit="0" vertical="center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 shrinkToFit="0" vertical="center" wrapText="0"/>
    </xf>
    <xf borderId="0" fillId="6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center" wrapText="0"/>
    </xf>
    <xf borderId="0" fillId="10" fontId="7" numFmtId="0" xfId="0" applyAlignment="1" applyFill="1" applyFont="1">
      <alignment readingOrder="0"/>
    </xf>
    <xf borderId="0" fillId="0" fontId="18" numFmtId="0" xfId="0" applyAlignment="1" applyFont="1">
      <alignment readingOrder="0" shrinkToFit="0" vertical="bottom" wrapText="0"/>
    </xf>
    <xf borderId="0" fillId="6" fontId="7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0" fontId="7" numFmtId="0" xfId="0" applyAlignment="1" applyBorder="1" applyFont="1">
      <alignment shrinkToFit="0" vertical="center" wrapText="0"/>
    </xf>
    <xf borderId="1" fillId="11" fontId="7" numFmtId="0" xfId="0" applyAlignment="1" applyBorder="1" applyFill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0" fillId="11" fontId="7" numFmtId="0" xfId="0" applyAlignment="1" applyFont="1">
      <alignment readingOrder="0" shrinkToFit="0" vertical="center" wrapText="0"/>
    </xf>
    <xf borderId="0" fillId="0" fontId="7" numFmtId="0" xfId="0" applyFont="1"/>
  </cellXfs>
  <cellStyles count="1">
    <cellStyle xfId="0" name="Normal" builtinId="0"/>
  </cellStyles>
  <dxfs count="7">
    <dxf>
      <font/>
      <fill>
        <patternFill patternType="solid">
          <fgColor theme="6"/>
          <bgColor theme="6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CCD9D4"/>
          <bgColor rgb="FFCCD9D4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5" pivot="0" name="ARKSHKATI COMM-style">
      <tableStyleElement dxfId="2" type="headerRow"/>
      <tableStyleElement dxfId="3" type="firstRowStripe"/>
      <tableStyleElement dxfId="4" type="secondRowStripe"/>
      <tableStyleElement dxfId="5" type="totalRow"/>
      <tableStyleElement dxfId="6" size="0" type="wholeTable"/>
    </tableStyle>
    <tableStyle count="4" pivot="0" name="ARKSHKATI COMM-style 2">
      <tableStyleElement dxfId="2" type="headerRow"/>
      <tableStyleElement dxfId="3" type="firstRowStripe"/>
      <tableStyleElement dxfId="4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totalsRowCount="1" ref="A1:D37" displayName="MARCH_2026" name="MARCH_2026" id="1">
  <tableColumns count="4">
    <tableColumn name="S.R.  " id="1"/>
    <tableColumn name="SITE NAME" id="2"/>
    <tableColumn name="KW" id="3"/>
    <tableColumn totalsRowFunction="custom" name="AMOUNT" id="4"/>
  </tableColumns>
  <tableStyleInfo name="ARKSHKATI COMM-style" showColumnStripes="0" showFirstColumn="1" showLastColumn="1" showRowStripes="1"/>
</table>
</file>

<file path=xl/tables/table2.xml><?xml version="1.0" encoding="utf-8"?>
<table xmlns="http://schemas.openxmlformats.org/spreadsheetml/2006/main" ref="F1:I33" displayName="APRIL_2026" name="APRIL_2026" id="2">
  <tableColumns count="4">
    <tableColumn name="S.R.  " id="1"/>
    <tableColumn name="SITE NAME" id="2"/>
    <tableColumn name="KW" id="3"/>
    <tableColumn name="AMOUNT" id="4"/>
  </tableColumns>
  <tableStyleInfo name="ARKSHKATI COMM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fYhfGgfQbPoqGxGo7" TargetMode="External"/><Relationship Id="rId2" Type="http://schemas.openxmlformats.org/officeDocument/2006/relationships/hyperlink" Target="https://maps.app.goo.gl/Z7YwBFg2eqwEr8Se8?g_st=aw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mailto:mahendrasoni1992@gmail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mailto:kumawatnauratmal@gmail.com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://k.no/" TargetMode="External"/><Relationship Id="rId2" Type="http://schemas.openxmlformats.org/officeDocument/2006/relationships/hyperlink" Target="mailto:ANILJI0085@GMAIL.COM" TargetMode="External"/><Relationship Id="rId3" Type="http://schemas.openxmlformats.org/officeDocument/2006/relationships/hyperlink" Target="mailto:AJAY.ALWAR777@GMAIL.COM" TargetMode="External"/><Relationship Id="rId4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2.88"/>
    <col customWidth="1" min="2" max="2" width="49.88"/>
    <col customWidth="1" min="3" max="3" width="25.25"/>
    <col customWidth="1" min="4" max="4" width="6.5"/>
    <col customWidth="1" min="5" max="5" width="4.25"/>
    <col customWidth="1" min="6" max="6" width="20.75"/>
    <col customWidth="1" min="7" max="7" width="12.88"/>
    <col customWidth="1" min="8" max="8" width="12.13"/>
    <col customWidth="1" min="9" max="9" width="10.25"/>
    <col customWidth="1" min="10" max="10" width="31.38"/>
    <col customWidth="1" min="11" max="11" width="46.38"/>
    <col customWidth="1" min="12" max="12" width="16.75"/>
    <col customWidth="1" min="13" max="13" width="18.25"/>
    <col customWidth="1" min="14" max="15" width="6.63"/>
    <col customWidth="1" min="16" max="16" width="16.0"/>
    <col customWidth="1" min="17" max="17" width="16.5"/>
    <col customWidth="1" min="18" max="18" width="17.0"/>
    <col customWidth="1" min="19" max="19" width="21.5"/>
    <col customWidth="1" min="20" max="20" width="27.38"/>
    <col customWidth="1" min="21" max="21" width="25.75"/>
    <col customWidth="1" min="22" max="22" width="16.13"/>
    <col customWidth="1" min="23" max="23" width="16.38"/>
    <col customWidth="1" min="24" max="24" width="12.5"/>
    <col customWidth="1" min="25" max="25" width="8.5"/>
    <col customWidth="1" min="26" max="26" width="21.5"/>
    <col customWidth="1" min="27" max="27" width="15.13"/>
    <col customWidth="1" min="28" max="28" width="21.0"/>
    <col customWidth="1" min="29" max="29" width="11.75"/>
    <col customWidth="1" min="30" max="30" width="22.5"/>
    <col customWidth="1" min="31" max="31" width="11.38"/>
    <col customWidth="1" min="32" max="32" width="28.25"/>
    <col customWidth="1" min="33" max="33" width="8.0"/>
    <col customWidth="1" min="34" max="34" width="6.63"/>
    <col customWidth="1" min="35" max="35" width="7.13"/>
    <col customWidth="1" min="36" max="36" width="7.25"/>
    <col customWidth="1" min="37" max="37" width="7.0"/>
    <col customWidth="1" min="38" max="39" width="6.63"/>
    <col customWidth="1" min="40" max="40" width="8.13"/>
    <col customWidth="1" min="41" max="41" width="8.0"/>
    <col customWidth="1" min="42" max="42" width="8.75"/>
    <col customWidth="1" min="43" max="43" width="8.38"/>
    <col customWidth="1" min="44" max="44" width="9.25"/>
    <col customWidth="1" min="45" max="45" width="9.5"/>
    <col customWidth="1" min="46" max="46" width="52.25"/>
    <col customWidth="1" min="48" max="48" width="142.5"/>
  </cols>
  <sheetData>
    <row r="1">
      <c r="A1" s="1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" t="s">
        <v>8</v>
      </c>
      <c r="I1" s="3" t="s">
        <v>9</v>
      </c>
      <c r="J1" s="3" t="s">
        <v>11</v>
      </c>
      <c r="K1" s="5" t="s">
        <v>12</v>
      </c>
      <c r="L1" s="5" t="s">
        <v>13</v>
      </c>
      <c r="M1" s="3" t="s">
        <v>14</v>
      </c>
      <c r="N1" s="3" t="s">
        <v>15</v>
      </c>
      <c r="O1" s="3" t="s">
        <v>16</v>
      </c>
      <c r="P1" s="7" t="s">
        <v>17</v>
      </c>
      <c r="Q1" s="7" t="s">
        <v>18</v>
      </c>
      <c r="R1" s="7" t="s">
        <v>19</v>
      </c>
      <c r="S1" s="8" t="s">
        <v>20</v>
      </c>
      <c r="T1" s="9" t="s">
        <v>22</v>
      </c>
      <c r="U1" s="8" t="s">
        <v>24</v>
      </c>
      <c r="V1" s="10" t="s">
        <v>25</v>
      </c>
      <c r="W1" s="10" t="s">
        <v>27</v>
      </c>
      <c r="X1" s="10" t="s">
        <v>29</v>
      </c>
      <c r="Y1" s="10" t="s">
        <v>31</v>
      </c>
      <c r="Z1" s="10" t="s">
        <v>33</v>
      </c>
      <c r="AA1" s="11" t="s">
        <v>35</v>
      </c>
      <c r="AB1" s="10" t="s">
        <v>36</v>
      </c>
      <c r="AC1" s="8" t="s">
        <v>38</v>
      </c>
      <c r="AD1" s="8" t="s">
        <v>39</v>
      </c>
      <c r="AE1" s="8" t="s">
        <v>40</v>
      </c>
      <c r="AF1" s="8" t="s">
        <v>41</v>
      </c>
      <c r="AG1" s="8"/>
      <c r="AH1" s="8"/>
      <c r="AI1" s="8"/>
      <c r="AJ1" s="8"/>
      <c r="AK1" s="8"/>
      <c r="AL1" s="12"/>
      <c r="AM1" s="12"/>
      <c r="AN1" s="12"/>
      <c r="AO1" s="8"/>
      <c r="AP1" s="13"/>
      <c r="AQ1" s="8"/>
      <c r="AR1" s="8"/>
      <c r="AS1" s="8"/>
      <c r="AT1" s="13"/>
      <c r="AU1" s="12"/>
      <c r="AV1" s="8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</row>
    <row r="2">
      <c r="A2" s="15">
        <v>1.0</v>
      </c>
      <c r="B2" s="16" t="s">
        <v>51</v>
      </c>
      <c r="C2" s="19" t="s">
        <v>52</v>
      </c>
      <c r="D2" s="19" t="s">
        <v>53</v>
      </c>
      <c r="E2" s="19"/>
      <c r="F2" s="19" t="s">
        <v>54</v>
      </c>
      <c r="G2" s="19" t="s">
        <v>54</v>
      </c>
      <c r="H2" s="19">
        <v>2.11529034969E11</v>
      </c>
      <c r="I2" s="19"/>
      <c r="J2" s="21"/>
      <c r="K2" s="22"/>
      <c r="L2" s="22"/>
      <c r="M2" s="22"/>
      <c r="N2" s="22"/>
      <c r="O2" s="22"/>
      <c r="P2" s="16" t="s">
        <v>57</v>
      </c>
      <c r="Q2" s="16" t="s">
        <v>56</v>
      </c>
      <c r="R2" s="16" t="s">
        <v>60</v>
      </c>
      <c r="S2" s="19" t="s">
        <v>59</v>
      </c>
      <c r="T2" s="19" t="s">
        <v>63</v>
      </c>
      <c r="U2" s="28" t="s">
        <v>64</v>
      </c>
      <c r="V2" s="22"/>
      <c r="W2" s="22"/>
      <c r="X2" s="22"/>
      <c r="Y2" s="22"/>
      <c r="Z2" s="22"/>
      <c r="AA2" s="22"/>
      <c r="AB2" s="22"/>
      <c r="AC2" s="22"/>
      <c r="AD2" s="22"/>
      <c r="AE2" s="22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  <c r="BO2" s="22"/>
      <c r="BP2" s="22"/>
      <c r="BQ2" s="22"/>
      <c r="BR2" s="22"/>
      <c r="BS2" s="22"/>
      <c r="BT2" s="22"/>
      <c r="BU2" s="22"/>
    </row>
    <row r="3">
      <c r="A3" s="15">
        <v>2.0</v>
      </c>
      <c r="B3" s="16" t="s">
        <v>76</v>
      </c>
      <c r="C3" s="19" t="s">
        <v>77</v>
      </c>
      <c r="D3" s="19" t="s">
        <v>49</v>
      </c>
      <c r="E3" s="19"/>
      <c r="F3" s="19" t="s">
        <v>78</v>
      </c>
      <c r="G3" s="19" t="s">
        <v>50</v>
      </c>
      <c r="H3" s="19">
        <v>2.11543032622E11</v>
      </c>
      <c r="I3" s="19">
        <v>9.784304299E9</v>
      </c>
      <c r="J3" s="21"/>
      <c r="K3" s="19"/>
      <c r="L3" s="19">
        <v>200000.0</v>
      </c>
      <c r="M3" s="19"/>
      <c r="N3" s="19">
        <v>180000.0</v>
      </c>
      <c r="O3" s="19"/>
      <c r="P3" s="16" t="s">
        <v>55</v>
      </c>
      <c r="Q3" s="16" t="s">
        <v>56</v>
      </c>
      <c r="R3" s="16" t="s">
        <v>58</v>
      </c>
      <c r="S3" s="19" t="s">
        <v>59</v>
      </c>
      <c r="T3" s="19"/>
      <c r="U3" s="28" t="s">
        <v>64</v>
      </c>
      <c r="V3" s="22"/>
      <c r="W3" s="22"/>
      <c r="X3" s="22"/>
      <c r="Y3" s="22"/>
      <c r="Z3" s="22"/>
      <c r="AA3" s="22"/>
      <c r="AB3" s="22"/>
      <c r="AC3" s="22"/>
      <c r="AD3" s="22"/>
      <c r="AE3" s="22"/>
      <c r="AF3" s="29"/>
      <c r="AG3" s="29"/>
      <c r="AH3" s="29"/>
      <c r="AI3" s="29"/>
      <c r="AJ3" s="29"/>
      <c r="AK3" s="34"/>
      <c r="AL3" s="34"/>
      <c r="AM3" s="29"/>
      <c r="AN3" s="34"/>
      <c r="AO3" s="34"/>
      <c r="AP3" s="29"/>
      <c r="AQ3" s="34"/>
      <c r="AR3" s="34"/>
      <c r="AS3" s="34"/>
      <c r="AT3" s="34"/>
      <c r="AU3" s="29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</row>
    <row r="4">
      <c r="A4" s="15">
        <v>3.0</v>
      </c>
      <c r="B4" s="16" t="s">
        <v>76</v>
      </c>
      <c r="C4" s="19" t="s">
        <v>87</v>
      </c>
      <c r="D4" s="19" t="s">
        <v>49</v>
      </c>
      <c r="E4" s="19"/>
      <c r="F4" s="19" t="s">
        <v>88</v>
      </c>
      <c r="G4" s="19" t="s">
        <v>89</v>
      </c>
      <c r="H4" s="19">
        <v>2.11525048118E11</v>
      </c>
      <c r="I4" s="19">
        <v>9.636315608E9</v>
      </c>
      <c r="J4" s="19" t="s">
        <v>91</v>
      </c>
      <c r="K4" s="19"/>
      <c r="L4" s="19">
        <v>200000.0</v>
      </c>
      <c r="M4" s="19">
        <v>180000.0</v>
      </c>
      <c r="N4" s="19">
        <v>180000.0</v>
      </c>
      <c r="O4" s="16">
        <f t="shared" ref="O4:O40" si="1">M4-N4</f>
        <v>0</v>
      </c>
      <c r="P4" s="16" t="s">
        <v>55</v>
      </c>
      <c r="Q4" s="16" t="s">
        <v>71</v>
      </c>
      <c r="R4" s="16" t="s">
        <v>58</v>
      </c>
      <c r="S4" s="19" t="s">
        <v>59</v>
      </c>
      <c r="T4" s="19" t="s">
        <v>63</v>
      </c>
      <c r="U4" s="28" t="s">
        <v>64</v>
      </c>
      <c r="V4" s="22"/>
      <c r="W4" s="22"/>
      <c r="X4" s="22"/>
      <c r="Y4" s="19">
        <f t="shared" ref="Y4:Y40" si="2">N4-V4-W4</f>
        <v>180000</v>
      </c>
      <c r="Z4" s="19">
        <f t="shared" ref="Z4:Z40" si="3">O4-X4</f>
        <v>0</v>
      </c>
      <c r="AA4" s="19">
        <f t="shared" ref="AA4:AA40" si="4">Y4+Z4</f>
        <v>180000</v>
      </c>
      <c r="AB4" s="19">
        <f t="shared" ref="AB4:AB40" si="5">V4+W4+X4</f>
        <v>0</v>
      </c>
      <c r="AC4" s="22"/>
      <c r="AD4" s="22"/>
      <c r="AE4" s="22">
        <f t="shared" ref="AE4:AE40" si="6">SUM(AC4:AD4)</f>
        <v>0</v>
      </c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</row>
    <row r="5">
      <c r="A5" s="15">
        <v>1.0</v>
      </c>
      <c r="B5" s="36" t="s">
        <v>104</v>
      </c>
      <c r="C5" s="36" t="s">
        <v>105</v>
      </c>
      <c r="D5" s="36" t="s">
        <v>53</v>
      </c>
      <c r="E5" s="36"/>
      <c r="F5" s="36" t="s">
        <v>106</v>
      </c>
      <c r="G5" s="36" t="s">
        <v>107</v>
      </c>
      <c r="H5" s="41">
        <v>1.20163010196E11</v>
      </c>
      <c r="I5" s="41">
        <v>7.610000136E9</v>
      </c>
      <c r="J5" s="42" t="s">
        <v>108</v>
      </c>
      <c r="K5" s="36"/>
      <c r="L5" s="36">
        <v>230000.0</v>
      </c>
      <c r="M5" s="36">
        <v>225000.0</v>
      </c>
      <c r="N5" s="36">
        <v>0.0</v>
      </c>
      <c r="O5" s="36">
        <f t="shared" si="1"/>
        <v>225000</v>
      </c>
      <c r="P5" s="36" t="s">
        <v>90</v>
      </c>
      <c r="Q5" s="36" t="s">
        <v>56</v>
      </c>
      <c r="R5" s="36" t="s">
        <v>115</v>
      </c>
      <c r="S5" s="30" t="s">
        <v>93</v>
      </c>
      <c r="T5" s="30" t="s">
        <v>94</v>
      </c>
      <c r="U5" s="37" t="s">
        <v>118</v>
      </c>
      <c r="V5" s="30">
        <v>0.0</v>
      </c>
      <c r="W5" s="30">
        <v>0.0</v>
      </c>
      <c r="X5" s="30">
        <v>225000.0</v>
      </c>
      <c r="Y5" s="30">
        <f t="shared" si="2"/>
        <v>0</v>
      </c>
      <c r="Z5" s="30">
        <f t="shared" si="3"/>
        <v>0</v>
      </c>
      <c r="AA5" s="30">
        <f t="shared" si="4"/>
        <v>0</v>
      </c>
      <c r="AB5" s="30">
        <f t="shared" si="5"/>
        <v>225000</v>
      </c>
      <c r="AC5" s="30">
        <v>225000.0</v>
      </c>
      <c r="AD5" s="30">
        <v>0.0</v>
      </c>
      <c r="AE5" s="39">
        <f t="shared" si="6"/>
        <v>225000</v>
      </c>
      <c r="AF5" s="29"/>
      <c r="AG5" s="34"/>
      <c r="AH5" s="29"/>
      <c r="AI5" s="34"/>
      <c r="AJ5" s="29"/>
      <c r="AK5" s="29"/>
      <c r="AL5" s="29"/>
      <c r="AM5" s="29"/>
      <c r="AN5" s="29"/>
      <c r="AO5" s="34"/>
      <c r="AP5" s="29"/>
      <c r="AQ5" s="34"/>
      <c r="AR5" s="29"/>
      <c r="AS5" s="34"/>
      <c r="AT5" s="29"/>
      <c r="AU5" s="29"/>
    </row>
    <row r="6">
      <c r="A6" s="15">
        <v>2.0</v>
      </c>
      <c r="B6" s="15" t="s">
        <v>124</v>
      </c>
      <c r="C6" s="36" t="s">
        <v>125</v>
      </c>
      <c r="D6" s="36" t="s">
        <v>126</v>
      </c>
      <c r="E6" s="36"/>
      <c r="F6" s="36" t="s">
        <v>127</v>
      </c>
      <c r="G6" s="36" t="s">
        <v>68</v>
      </c>
      <c r="H6" s="41">
        <v>2.10474063228E11</v>
      </c>
      <c r="I6" s="41">
        <v>7.737177731E9</v>
      </c>
      <c r="J6" s="42" t="s">
        <v>128</v>
      </c>
      <c r="K6" s="41"/>
      <c r="L6" s="41">
        <v>265000.0</v>
      </c>
      <c r="M6" s="41">
        <f>265000+24910</f>
        <v>289910</v>
      </c>
      <c r="N6" s="41">
        <v>200000.0</v>
      </c>
      <c r="O6" s="36">
        <f t="shared" si="1"/>
        <v>89910</v>
      </c>
      <c r="P6" s="36" t="s">
        <v>90</v>
      </c>
      <c r="Q6" s="36" t="s">
        <v>71</v>
      </c>
      <c r="R6" s="36" t="s">
        <v>92</v>
      </c>
      <c r="S6" s="30" t="s">
        <v>93</v>
      </c>
      <c r="T6" s="30" t="s">
        <v>94</v>
      </c>
      <c r="U6" s="37" t="s">
        <v>130</v>
      </c>
      <c r="V6" s="30">
        <v>140000.0</v>
      </c>
      <c r="W6" s="30">
        <v>60000.0</v>
      </c>
      <c r="X6" s="30">
        <v>65000.0</v>
      </c>
      <c r="Y6" s="30">
        <f t="shared" si="2"/>
        <v>0</v>
      </c>
      <c r="Z6" s="30">
        <f t="shared" si="3"/>
        <v>24910</v>
      </c>
      <c r="AA6" s="30">
        <f t="shared" si="4"/>
        <v>24910</v>
      </c>
      <c r="AB6" s="30">
        <f t="shared" si="5"/>
        <v>265000</v>
      </c>
      <c r="AC6" s="30">
        <v>65000.0</v>
      </c>
      <c r="AD6" s="30">
        <v>200000.0</v>
      </c>
      <c r="AE6" s="39">
        <f t="shared" si="6"/>
        <v>265000</v>
      </c>
      <c r="AF6" s="29"/>
      <c r="AG6" s="34"/>
      <c r="AH6" s="29"/>
      <c r="AI6" s="29"/>
      <c r="AJ6" s="29"/>
      <c r="AK6" s="34"/>
      <c r="AL6" s="29"/>
      <c r="AM6" s="34"/>
      <c r="AN6" s="29"/>
      <c r="AO6" s="34"/>
      <c r="AP6" s="29"/>
      <c r="AQ6" s="34"/>
      <c r="AR6" s="29"/>
      <c r="AS6" s="34"/>
      <c r="AT6" s="29"/>
      <c r="AU6" s="29"/>
    </row>
    <row r="7">
      <c r="A7" s="15">
        <v>3.0</v>
      </c>
      <c r="B7" s="36" t="s">
        <v>104</v>
      </c>
      <c r="C7" s="36" t="s">
        <v>135</v>
      </c>
      <c r="D7" s="36" t="s">
        <v>49</v>
      </c>
      <c r="E7" s="36" t="s">
        <v>110</v>
      </c>
      <c r="F7" s="36" t="s">
        <v>78</v>
      </c>
      <c r="G7" s="36" t="s">
        <v>50</v>
      </c>
      <c r="H7" s="41">
        <v>2.11543028666E11</v>
      </c>
      <c r="I7" s="41">
        <v>9.82831597E9</v>
      </c>
      <c r="J7" s="53" t="s">
        <v>136</v>
      </c>
      <c r="K7" s="54" t="s">
        <v>137</v>
      </c>
      <c r="L7" s="41">
        <v>200000.0</v>
      </c>
      <c r="M7" s="41">
        <v>180000.0</v>
      </c>
      <c r="N7" s="41">
        <v>180000.0</v>
      </c>
      <c r="O7" s="36">
        <f t="shared" si="1"/>
        <v>0</v>
      </c>
      <c r="P7" s="36" t="s">
        <v>90</v>
      </c>
      <c r="Q7" s="36" t="s">
        <v>71</v>
      </c>
      <c r="R7" s="36" t="s">
        <v>92</v>
      </c>
      <c r="S7" s="30" t="s">
        <v>93</v>
      </c>
      <c r="T7" s="30" t="s">
        <v>94</v>
      </c>
      <c r="U7" s="37" t="s">
        <v>95</v>
      </c>
      <c r="V7" s="30">
        <v>126000.0</v>
      </c>
      <c r="W7" s="30">
        <v>54000.0</v>
      </c>
      <c r="X7" s="30">
        <v>0.0</v>
      </c>
      <c r="Y7" s="30">
        <f t="shared" si="2"/>
        <v>0</v>
      </c>
      <c r="Z7" s="30">
        <f t="shared" si="3"/>
        <v>0</v>
      </c>
      <c r="AA7" s="30">
        <f t="shared" si="4"/>
        <v>0</v>
      </c>
      <c r="AB7" s="30">
        <f t="shared" si="5"/>
        <v>180000</v>
      </c>
      <c r="AC7" s="30">
        <v>0.0</v>
      </c>
      <c r="AD7" s="30">
        <v>180000.0</v>
      </c>
      <c r="AE7" s="39">
        <f t="shared" si="6"/>
        <v>180000</v>
      </c>
      <c r="AF7" s="29"/>
      <c r="AG7" s="34"/>
      <c r="AH7" s="29"/>
      <c r="AI7" s="29"/>
      <c r="AJ7" s="29"/>
      <c r="AK7" s="34"/>
      <c r="AL7" s="29"/>
      <c r="AM7" s="34"/>
      <c r="AN7" s="29"/>
      <c r="AO7" s="34"/>
      <c r="AP7" s="29"/>
      <c r="AQ7" s="34"/>
      <c r="AR7" s="29"/>
      <c r="AS7" s="34"/>
      <c r="AT7" s="29"/>
      <c r="AU7" s="29"/>
      <c r="AV7" s="39"/>
      <c r="AW7" s="39"/>
      <c r="AX7" s="39"/>
      <c r="AY7" s="39"/>
      <c r="AZ7" s="39"/>
      <c r="BA7" s="39"/>
      <c r="BB7" s="39"/>
      <c r="BC7" s="39"/>
      <c r="BD7" s="39"/>
      <c r="BE7" s="39"/>
      <c r="BF7" s="39"/>
      <c r="BG7" s="39"/>
      <c r="BH7" s="39"/>
      <c r="BI7" s="39"/>
      <c r="BJ7" s="39"/>
      <c r="BK7" s="39"/>
      <c r="BL7" s="39"/>
      <c r="BM7" s="39"/>
      <c r="BN7" s="39"/>
      <c r="BO7" s="39"/>
      <c r="BP7" s="39"/>
      <c r="BQ7" s="39"/>
      <c r="BR7" s="39"/>
      <c r="BS7" s="39"/>
      <c r="BT7" s="39"/>
      <c r="BU7" s="39"/>
    </row>
    <row r="8">
      <c r="A8" s="15">
        <v>4.0</v>
      </c>
      <c r="B8" s="36" t="s">
        <v>141</v>
      </c>
      <c r="C8" s="36" t="s">
        <v>147</v>
      </c>
      <c r="D8" s="36" t="s">
        <v>49</v>
      </c>
      <c r="E8" s="36" t="s">
        <v>110</v>
      </c>
      <c r="F8" s="36" t="s">
        <v>78</v>
      </c>
      <c r="G8" s="36" t="s">
        <v>50</v>
      </c>
      <c r="H8" s="41">
        <v>2.11543022332E11</v>
      </c>
      <c r="I8" s="41">
        <v>9.828045653E9</v>
      </c>
      <c r="J8" s="53" t="s">
        <v>148</v>
      </c>
      <c r="K8" s="54" t="s">
        <v>137</v>
      </c>
      <c r="L8" s="41">
        <v>200000.0</v>
      </c>
      <c r="M8" s="41">
        <v>180000.0</v>
      </c>
      <c r="N8" s="41">
        <v>180000.0</v>
      </c>
      <c r="O8" s="36">
        <f t="shared" si="1"/>
        <v>0</v>
      </c>
      <c r="P8" s="36" t="s">
        <v>90</v>
      </c>
      <c r="Q8" s="36" t="s">
        <v>71</v>
      </c>
      <c r="R8" s="36" t="s">
        <v>92</v>
      </c>
      <c r="S8" s="30" t="s">
        <v>93</v>
      </c>
      <c r="T8" s="30" t="s">
        <v>94</v>
      </c>
      <c r="U8" s="37" t="s">
        <v>95</v>
      </c>
      <c r="V8" s="30">
        <v>126000.0</v>
      </c>
      <c r="W8" s="30">
        <v>54000.0</v>
      </c>
      <c r="X8" s="30">
        <v>0.0</v>
      </c>
      <c r="Y8" s="30">
        <f t="shared" si="2"/>
        <v>0</v>
      </c>
      <c r="Z8" s="30">
        <f t="shared" si="3"/>
        <v>0</v>
      </c>
      <c r="AA8" s="30">
        <f t="shared" si="4"/>
        <v>0</v>
      </c>
      <c r="AB8" s="30">
        <f t="shared" si="5"/>
        <v>180000</v>
      </c>
      <c r="AC8" s="30">
        <v>0.0</v>
      </c>
      <c r="AD8" s="30">
        <v>180000.0</v>
      </c>
      <c r="AE8" s="39">
        <f t="shared" si="6"/>
        <v>180000</v>
      </c>
      <c r="AF8" s="29"/>
      <c r="AG8" s="34"/>
      <c r="AH8" s="29"/>
      <c r="AI8" s="29"/>
      <c r="AJ8" s="29"/>
      <c r="AK8" s="34"/>
      <c r="AL8" s="29"/>
      <c r="AM8" s="34"/>
      <c r="AN8" s="29"/>
      <c r="AO8" s="34"/>
      <c r="AP8" s="29"/>
      <c r="AQ8" s="34"/>
      <c r="AR8" s="29"/>
      <c r="AS8" s="34"/>
      <c r="AT8" s="29"/>
      <c r="AU8" s="29"/>
      <c r="AV8" s="39"/>
      <c r="AW8" s="39"/>
      <c r="AX8" s="39"/>
      <c r="AY8" s="39"/>
      <c r="AZ8" s="39"/>
      <c r="BA8" s="39"/>
      <c r="BB8" s="39"/>
      <c r="BC8" s="39"/>
      <c r="BD8" s="39"/>
      <c r="BE8" s="39"/>
      <c r="BF8" s="39"/>
      <c r="BG8" s="39"/>
      <c r="BH8" s="39"/>
      <c r="BI8" s="39"/>
      <c r="BJ8" s="39"/>
      <c r="BK8" s="39"/>
      <c r="BL8" s="39"/>
      <c r="BM8" s="39"/>
      <c r="BN8" s="39"/>
      <c r="BO8" s="39"/>
      <c r="BP8" s="39"/>
      <c r="BQ8" s="39"/>
      <c r="BR8" s="39"/>
      <c r="BS8" s="39"/>
      <c r="BT8" s="39"/>
      <c r="BU8" s="39"/>
    </row>
    <row r="9">
      <c r="A9" s="15">
        <v>5.0</v>
      </c>
      <c r="B9" s="36" t="s">
        <v>141</v>
      </c>
      <c r="C9" s="30" t="s">
        <v>152</v>
      </c>
      <c r="D9" s="30" t="s">
        <v>153</v>
      </c>
      <c r="E9" s="30" t="s">
        <v>110</v>
      </c>
      <c r="F9" s="30" t="s">
        <v>67</v>
      </c>
      <c r="G9" s="30" t="s">
        <v>68</v>
      </c>
      <c r="H9" s="30">
        <v>2.10474014036E11</v>
      </c>
      <c r="I9" s="30">
        <v>9.82802544E9</v>
      </c>
      <c r="J9" s="42" t="s">
        <v>155</v>
      </c>
      <c r="K9" s="30"/>
      <c r="L9" s="30">
        <v>175000.0</v>
      </c>
      <c r="M9" s="30">
        <v>170000.0</v>
      </c>
      <c r="N9" s="30">
        <v>0.0</v>
      </c>
      <c r="O9" s="36">
        <f t="shared" si="1"/>
        <v>170000</v>
      </c>
      <c r="P9" s="36" t="s">
        <v>90</v>
      </c>
      <c r="Q9" s="36" t="s">
        <v>71</v>
      </c>
      <c r="R9" s="36" t="s">
        <v>115</v>
      </c>
      <c r="S9" s="30" t="s">
        <v>93</v>
      </c>
      <c r="T9" s="30" t="s">
        <v>94</v>
      </c>
      <c r="U9" s="37" t="s">
        <v>95</v>
      </c>
      <c r="V9" s="30">
        <v>0.0</v>
      </c>
      <c r="W9" s="30">
        <v>0.0</v>
      </c>
      <c r="X9" s="30">
        <v>170000.0</v>
      </c>
      <c r="Y9" s="30">
        <f t="shared" si="2"/>
        <v>0</v>
      </c>
      <c r="Z9" s="30">
        <f t="shared" si="3"/>
        <v>0</v>
      </c>
      <c r="AA9" s="30">
        <f t="shared" si="4"/>
        <v>0</v>
      </c>
      <c r="AB9" s="30">
        <f t="shared" si="5"/>
        <v>170000</v>
      </c>
      <c r="AC9" s="30">
        <v>175000.0</v>
      </c>
      <c r="AD9" s="30">
        <v>0.0</v>
      </c>
      <c r="AE9" s="39">
        <f t="shared" si="6"/>
        <v>175000</v>
      </c>
      <c r="AF9" s="29"/>
      <c r="AG9" s="34"/>
      <c r="AH9" s="29"/>
      <c r="AI9" s="34"/>
      <c r="AJ9" s="29"/>
      <c r="AK9" s="34"/>
      <c r="AL9" s="29"/>
      <c r="AM9" s="34"/>
      <c r="AN9" s="29"/>
      <c r="AO9" s="34"/>
      <c r="AP9" s="29"/>
      <c r="AQ9" s="34"/>
      <c r="AR9" s="29"/>
      <c r="AS9" s="34"/>
      <c r="AT9" s="29"/>
      <c r="AU9" s="29"/>
      <c r="AV9" s="39"/>
      <c r="AW9" s="39"/>
      <c r="AX9" s="39"/>
      <c r="AY9" s="39"/>
      <c r="AZ9" s="39"/>
      <c r="BA9" s="39"/>
      <c r="BB9" s="39"/>
      <c r="BC9" s="39"/>
      <c r="BD9" s="39"/>
      <c r="BE9" s="39"/>
      <c r="BF9" s="39"/>
      <c r="BG9" s="39"/>
      <c r="BH9" s="39"/>
      <c r="BI9" s="39"/>
      <c r="BJ9" s="39"/>
      <c r="BK9" s="39"/>
      <c r="BL9" s="39"/>
      <c r="BM9" s="39"/>
      <c r="BN9" s="39"/>
      <c r="BO9" s="39"/>
      <c r="BP9" s="39"/>
      <c r="BQ9" s="39"/>
      <c r="BR9" s="39"/>
      <c r="BS9" s="39"/>
      <c r="BT9" s="39"/>
      <c r="BU9" s="39"/>
    </row>
    <row r="10">
      <c r="A10" s="15">
        <v>6.0</v>
      </c>
      <c r="B10" s="15" t="s">
        <v>158</v>
      </c>
      <c r="C10" s="36" t="s">
        <v>159</v>
      </c>
      <c r="D10" s="36" t="s">
        <v>126</v>
      </c>
      <c r="E10" s="36"/>
      <c r="F10" s="36" t="s">
        <v>127</v>
      </c>
      <c r="G10" s="36" t="s">
        <v>68</v>
      </c>
      <c r="H10" s="30">
        <v>2.1047403764E11</v>
      </c>
      <c r="I10" s="30">
        <v>8.963006555E9</v>
      </c>
      <c r="J10" s="42" t="s">
        <v>161</v>
      </c>
      <c r="K10" s="36"/>
      <c r="L10" s="36">
        <v>265000.0</v>
      </c>
      <c r="M10" s="36">
        <v>265000.0</v>
      </c>
      <c r="N10" s="36">
        <v>189000.0</v>
      </c>
      <c r="O10" s="36">
        <f t="shared" si="1"/>
        <v>76000</v>
      </c>
      <c r="P10" s="36" t="s">
        <v>90</v>
      </c>
      <c r="Q10" s="36" t="s">
        <v>56</v>
      </c>
      <c r="R10" s="36" t="s">
        <v>92</v>
      </c>
      <c r="S10" s="30" t="s">
        <v>93</v>
      </c>
      <c r="T10" s="30" t="s">
        <v>94</v>
      </c>
      <c r="U10" s="37" t="s">
        <v>130</v>
      </c>
      <c r="V10" s="30">
        <v>132000.0</v>
      </c>
      <c r="W10" s="30">
        <v>57000.0</v>
      </c>
      <c r="X10" s="30">
        <v>55000.0</v>
      </c>
      <c r="Y10" s="30">
        <f t="shared" si="2"/>
        <v>0</v>
      </c>
      <c r="Z10" s="30">
        <f t="shared" si="3"/>
        <v>21000</v>
      </c>
      <c r="AA10" s="30">
        <f t="shared" si="4"/>
        <v>21000</v>
      </c>
      <c r="AB10" s="30">
        <f t="shared" si="5"/>
        <v>244000</v>
      </c>
      <c r="AC10" s="30">
        <f>45000+10000</f>
        <v>55000</v>
      </c>
      <c r="AD10" s="30">
        <f>132000+57000</f>
        <v>189000</v>
      </c>
      <c r="AE10" s="39">
        <f t="shared" si="6"/>
        <v>244000</v>
      </c>
      <c r="AF10" s="29"/>
      <c r="AG10" s="34"/>
      <c r="AH10" s="29"/>
      <c r="AI10" s="34"/>
      <c r="AJ10" s="29"/>
      <c r="AK10" s="34"/>
      <c r="AL10" s="29"/>
      <c r="AM10" s="34"/>
      <c r="AN10" s="29"/>
      <c r="AO10" s="34"/>
      <c r="AP10" s="29"/>
      <c r="AQ10" s="34"/>
      <c r="AR10" s="29"/>
      <c r="AS10" s="34"/>
      <c r="AT10" s="29"/>
      <c r="AU10" s="29"/>
    </row>
    <row r="11">
      <c r="A11" s="15">
        <v>7.0</v>
      </c>
      <c r="B11" s="36" t="s">
        <v>141</v>
      </c>
      <c r="C11" s="30" t="s">
        <v>167</v>
      </c>
      <c r="D11" s="30" t="s">
        <v>49</v>
      </c>
      <c r="E11" s="30" t="s">
        <v>110</v>
      </c>
      <c r="F11" s="30" t="s">
        <v>78</v>
      </c>
      <c r="G11" s="30" t="s">
        <v>50</v>
      </c>
      <c r="H11" s="30">
        <v>2.11543026532E11</v>
      </c>
      <c r="I11" s="30">
        <v>9.602354761E9</v>
      </c>
      <c r="J11" s="42" t="s">
        <v>168</v>
      </c>
      <c r="K11" s="58" t="s">
        <v>169</v>
      </c>
      <c r="L11" s="30">
        <v>200000.0</v>
      </c>
      <c r="M11" s="30">
        <v>180000.0</v>
      </c>
      <c r="N11" s="30">
        <v>180000.0</v>
      </c>
      <c r="O11" s="36">
        <f t="shared" si="1"/>
        <v>0</v>
      </c>
      <c r="P11" s="36" t="s">
        <v>90</v>
      </c>
      <c r="Q11" s="36" t="s">
        <v>71</v>
      </c>
      <c r="R11" s="36" t="s">
        <v>92</v>
      </c>
      <c r="S11" s="30" t="s">
        <v>93</v>
      </c>
      <c r="T11" s="30" t="s">
        <v>94</v>
      </c>
      <c r="U11" s="37" t="s">
        <v>95</v>
      </c>
      <c r="V11" s="30">
        <v>126000.0</v>
      </c>
      <c r="W11" s="30">
        <v>54000.0</v>
      </c>
      <c r="X11" s="30">
        <v>0.0</v>
      </c>
      <c r="Y11" s="30">
        <f t="shared" si="2"/>
        <v>0</v>
      </c>
      <c r="Z11" s="30">
        <f t="shared" si="3"/>
        <v>0</v>
      </c>
      <c r="AA11" s="30">
        <f t="shared" si="4"/>
        <v>0</v>
      </c>
      <c r="AB11" s="30">
        <f t="shared" si="5"/>
        <v>180000</v>
      </c>
      <c r="AC11" s="30">
        <v>0.0</v>
      </c>
      <c r="AD11" s="30">
        <f>126000+54000</f>
        <v>180000</v>
      </c>
      <c r="AE11" s="39">
        <f t="shared" si="6"/>
        <v>180000</v>
      </c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34"/>
      <c r="AT11" s="29"/>
      <c r="AU11" s="29"/>
      <c r="AV11" s="39"/>
      <c r="AW11" s="39"/>
      <c r="AX11" s="39"/>
      <c r="AY11" s="39"/>
      <c r="AZ11" s="39"/>
      <c r="BA11" s="39"/>
      <c r="BB11" s="39"/>
      <c r="BC11" s="39"/>
      <c r="BD11" s="39"/>
      <c r="BE11" s="39"/>
      <c r="BF11" s="39"/>
      <c r="BG11" s="39"/>
      <c r="BH11" s="39"/>
      <c r="BI11" s="39"/>
      <c r="BJ11" s="39"/>
      <c r="BK11" s="39"/>
      <c r="BL11" s="39"/>
      <c r="BM11" s="39"/>
      <c r="BN11" s="39"/>
      <c r="BO11" s="39"/>
      <c r="BP11" s="39"/>
      <c r="BQ11" s="39"/>
      <c r="BR11" s="39"/>
      <c r="BS11" s="39"/>
      <c r="BT11" s="39"/>
      <c r="BU11" s="39"/>
    </row>
    <row r="12">
      <c r="A12" s="15">
        <v>8.0</v>
      </c>
      <c r="B12" s="36" t="s">
        <v>141</v>
      </c>
      <c r="C12" s="30" t="s">
        <v>173</v>
      </c>
      <c r="D12" s="30" t="s">
        <v>49</v>
      </c>
      <c r="E12" s="30" t="s">
        <v>110</v>
      </c>
      <c r="F12" s="30" t="s">
        <v>78</v>
      </c>
      <c r="G12" s="30" t="s">
        <v>50</v>
      </c>
      <c r="H12" s="30">
        <v>2.11543024918E11</v>
      </c>
      <c r="I12" s="30">
        <v>9.950744732E9</v>
      </c>
      <c r="J12" s="42" t="s">
        <v>176</v>
      </c>
      <c r="K12" s="30" t="s">
        <v>177</v>
      </c>
      <c r="L12" s="30">
        <v>200000.0</v>
      </c>
      <c r="M12" s="30">
        <v>180000.0</v>
      </c>
      <c r="N12" s="30">
        <v>180000.0</v>
      </c>
      <c r="O12" s="36">
        <f t="shared" si="1"/>
        <v>0</v>
      </c>
      <c r="P12" s="36" t="s">
        <v>90</v>
      </c>
      <c r="Q12" s="36" t="s">
        <v>71</v>
      </c>
      <c r="R12" s="36" t="s">
        <v>92</v>
      </c>
      <c r="S12" s="30" t="s">
        <v>93</v>
      </c>
      <c r="T12" s="30" t="s">
        <v>94</v>
      </c>
      <c r="U12" s="37" t="s">
        <v>95</v>
      </c>
      <c r="V12" s="30">
        <v>126000.0</v>
      </c>
      <c r="W12" s="30">
        <v>54000.0</v>
      </c>
      <c r="X12" s="30">
        <v>0.0</v>
      </c>
      <c r="Y12" s="30">
        <f t="shared" si="2"/>
        <v>0</v>
      </c>
      <c r="Z12" s="30">
        <f t="shared" si="3"/>
        <v>0</v>
      </c>
      <c r="AA12" s="30">
        <f t="shared" si="4"/>
        <v>0</v>
      </c>
      <c r="AB12" s="30">
        <f t="shared" si="5"/>
        <v>180000</v>
      </c>
      <c r="AC12" s="30">
        <v>0.0</v>
      </c>
      <c r="AD12" s="30">
        <v>180000.0</v>
      </c>
      <c r="AE12" s="39">
        <f t="shared" si="6"/>
        <v>180000</v>
      </c>
      <c r="AF12" s="29"/>
      <c r="AG12" s="29"/>
      <c r="AH12" s="29"/>
      <c r="AI12" s="29"/>
      <c r="AJ12" s="29"/>
      <c r="AK12" s="34"/>
      <c r="AL12" s="29"/>
      <c r="AM12" s="29"/>
      <c r="AN12" s="29"/>
      <c r="AO12" s="34"/>
      <c r="AP12" s="29"/>
      <c r="AQ12" s="34"/>
      <c r="AR12" s="29"/>
      <c r="AS12" s="34"/>
      <c r="AT12" s="29"/>
      <c r="AU12" s="29"/>
      <c r="AV12" s="39"/>
      <c r="AW12" s="39"/>
      <c r="AX12" s="39"/>
      <c r="AY12" s="39"/>
      <c r="AZ12" s="39"/>
      <c r="BA12" s="39"/>
      <c r="BB12" s="39"/>
      <c r="BC12" s="39"/>
      <c r="BD12" s="39"/>
      <c r="BE12" s="39"/>
      <c r="BF12" s="39"/>
      <c r="BG12" s="39"/>
      <c r="BH12" s="39"/>
      <c r="BI12" s="39"/>
      <c r="BJ12" s="39"/>
      <c r="BK12" s="39"/>
      <c r="BL12" s="39"/>
      <c r="BM12" s="39"/>
      <c r="BN12" s="39"/>
      <c r="BO12" s="39"/>
      <c r="BP12" s="39"/>
      <c r="BQ12" s="39"/>
      <c r="BR12" s="39"/>
      <c r="BS12" s="39"/>
      <c r="BT12" s="39"/>
      <c r="BU12" s="39"/>
    </row>
    <row r="13">
      <c r="A13" s="15">
        <v>9.0</v>
      </c>
      <c r="B13" s="36" t="s">
        <v>141</v>
      </c>
      <c r="C13" s="30" t="s">
        <v>184</v>
      </c>
      <c r="D13" s="30" t="s">
        <v>49</v>
      </c>
      <c r="E13" s="30" t="s">
        <v>110</v>
      </c>
      <c r="F13" s="30" t="s">
        <v>185</v>
      </c>
      <c r="G13" s="30" t="s">
        <v>54</v>
      </c>
      <c r="H13" s="30">
        <v>2.11529005504E11</v>
      </c>
      <c r="I13" s="30">
        <v>9.458570224E9</v>
      </c>
      <c r="J13" s="42" t="s">
        <v>187</v>
      </c>
      <c r="K13" s="30"/>
      <c r="L13" s="30">
        <v>175000.0</v>
      </c>
      <c r="M13" s="30">
        <v>175000.0</v>
      </c>
      <c r="N13" s="30">
        <v>0.0</v>
      </c>
      <c r="O13" s="36">
        <f t="shared" si="1"/>
        <v>175000</v>
      </c>
      <c r="P13" s="36" t="s">
        <v>90</v>
      </c>
      <c r="Q13" s="36" t="s">
        <v>71</v>
      </c>
      <c r="R13" s="36" t="s">
        <v>115</v>
      </c>
      <c r="S13" s="30" t="s">
        <v>93</v>
      </c>
      <c r="T13" s="30" t="s">
        <v>94</v>
      </c>
      <c r="U13" s="37" t="s">
        <v>95</v>
      </c>
      <c r="V13" s="30"/>
      <c r="W13" s="30"/>
      <c r="X13" s="30">
        <v>175000.0</v>
      </c>
      <c r="Y13" s="30">
        <f t="shared" si="2"/>
        <v>0</v>
      </c>
      <c r="Z13" s="30">
        <f t="shared" si="3"/>
        <v>0</v>
      </c>
      <c r="AA13" s="30">
        <f t="shared" si="4"/>
        <v>0</v>
      </c>
      <c r="AB13" s="30">
        <f t="shared" si="5"/>
        <v>175000</v>
      </c>
      <c r="AC13" s="30">
        <v>175000.0</v>
      </c>
      <c r="AD13" s="30">
        <v>0.0</v>
      </c>
      <c r="AE13" s="39">
        <f t="shared" si="6"/>
        <v>175000</v>
      </c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34"/>
      <c r="AT13" s="29"/>
      <c r="AU13" s="29"/>
      <c r="AV13" s="39"/>
      <c r="AW13" s="39"/>
      <c r="AX13" s="39"/>
      <c r="AY13" s="39"/>
      <c r="AZ13" s="39"/>
      <c r="BA13" s="39"/>
      <c r="BB13" s="39"/>
      <c r="BC13" s="39"/>
      <c r="BD13" s="39"/>
      <c r="BE13" s="39"/>
      <c r="BF13" s="39"/>
      <c r="BG13" s="39"/>
      <c r="BH13" s="39"/>
      <c r="BI13" s="39"/>
      <c r="BJ13" s="39"/>
      <c r="BK13" s="39"/>
      <c r="BL13" s="39"/>
      <c r="BM13" s="39"/>
      <c r="BN13" s="39"/>
      <c r="BO13" s="39"/>
      <c r="BP13" s="39"/>
      <c r="BQ13" s="39"/>
      <c r="BR13" s="39"/>
      <c r="BS13" s="39"/>
      <c r="BT13" s="39"/>
      <c r="BU13" s="39"/>
    </row>
    <row r="14">
      <c r="A14" s="15">
        <v>10.0</v>
      </c>
      <c r="B14" s="36" t="s">
        <v>69</v>
      </c>
      <c r="C14" s="30" t="s">
        <v>195</v>
      </c>
      <c r="D14" s="30" t="s">
        <v>153</v>
      </c>
      <c r="E14" s="30" t="s">
        <v>110</v>
      </c>
      <c r="F14" s="30" t="s">
        <v>196</v>
      </c>
      <c r="G14" s="30" t="s">
        <v>197</v>
      </c>
      <c r="H14" s="30">
        <v>2.11534025483E11</v>
      </c>
      <c r="I14" s="30">
        <v>9.828262524E9</v>
      </c>
      <c r="J14" s="42" t="s">
        <v>198</v>
      </c>
      <c r="K14" s="30"/>
      <c r="L14" s="30">
        <v>200000.0</v>
      </c>
      <c r="M14" s="30">
        <v>180000.0</v>
      </c>
      <c r="N14" s="30">
        <v>180000.0</v>
      </c>
      <c r="O14" s="36">
        <f t="shared" si="1"/>
        <v>0</v>
      </c>
      <c r="P14" s="36" t="s">
        <v>90</v>
      </c>
      <c r="Q14" s="36" t="s">
        <v>71</v>
      </c>
      <c r="R14" s="36" t="s">
        <v>92</v>
      </c>
      <c r="S14" s="30" t="s">
        <v>93</v>
      </c>
      <c r="T14" s="30" t="s">
        <v>94</v>
      </c>
      <c r="U14" s="37" t="s">
        <v>95</v>
      </c>
      <c r="V14" s="30">
        <v>126000.0</v>
      </c>
      <c r="W14" s="30">
        <v>54000.0</v>
      </c>
      <c r="X14" s="30">
        <v>0.0</v>
      </c>
      <c r="Y14" s="30">
        <f t="shared" si="2"/>
        <v>0</v>
      </c>
      <c r="Z14" s="30">
        <f t="shared" si="3"/>
        <v>0</v>
      </c>
      <c r="AA14" s="30">
        <f t="shared" si="4"/>
        <v>0</v>
      </c>
      <c r="AB14" s="30">
        <f t="shared" si="5"/>
        <v>180000</v>
      </c>
      <c r="AC14" s="30">
        <v>0.0</v>
      </c>
      <c r="AD14" s="30">
        <v>180000.0</v>
      </c>
      <c r="AE14" s="39">
        <f t="shared" si="6"/>
        <v>180000</v>
      </c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</row>
    <row r="15">
      <c r="A15" s="15">
        <v>11.0</v>
      </c>
      <c r="B15" s="36" t="s">
        <v>141</v>
      </c>
      <c r="C15" s="30" t="s">
        <v>203</v>
      </c>
      <c r="D15" s="30" t="s">
        <v>153</v>
      </c>
      <c r="E15" s="30" t="s">
        <v>110</v>
      </c>
      <c r="F15" s="30" t="s">
        <v>67</v>
      </c>
      <c r="G15" s="30" t="s">
        <v>68</v>
      </c>
      <c r="H15" s="30">
        <v>2.10474067895E11</v>
      </c>
      <c r="I15" s="30">
        <v>9.829080039E9</v>
      </c>
      <c r="J15" s="42" t="s">
        <v>205</v>
      </c>
      <c r="K15" s="30" t="s">
        <v>206</v>
      </c>
      <c r="L15" s="30">
        <v>200000.0</v>
      </c>
      <c r="M15" s="30">
        <v>170000.0</v>
      </c>
      <c r="N15" s="30">
        <v>180000.0</v>
      </c>
      <c r="O15" s="36">
        <f t="shared" si="1"/>
        <v>-10000</v>
      </c>
      <c r="P15" s="36" t="s">
        <v>90</v>
      </c>
      <c r="Q15" s="36" t="s">
        <v>71</v>
      </c>
      <c r="R15" s="36" t="s">
        <v>92</v>
      </c>
      <c r="S15" s="30" t="s">
        <v>93</v>
      </c>
      <c r="T15" s="30" t="s">
        <v>94</v>
      </c>
      <c r="U15" s="37" t="s">
        <v>95</v>
      </c>
      <c r="V15" s="30">
        <v>126000.0</v>
      </c>
      <c r="W15" s="30">
        <v>54000.0</v>
      </c>
      <c r="X15" s="30">
        <v>-10000.0</v>
      </c>
      <c r="Y15" s="30">
        <f t="shared" si="2"/>
        <v>0</v>
      </c>
      <c r="Z15" s="30">
        <f t="shared" si="3"/>
        <v>0</v>
      </c>
      <c r="AA15" s="30">
        <f t="shared" si="4"/>
        <v>0</v>
      </c>
      <c r="AB15" s="30">
        <f t="shared" si="5"/>
        <v>170000</v>
      </c>
      <c r="AC15" s="39"/>
      <c r="AD15" s="30">
        <v>180000.0</v>
      </c>
      <c r="AE15" s="39">
        <f t="shared" si="6"/>
        <v>180000</v>
      </c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</row>
    <row r="16">
      <c r="A16" s="15">
        <v>12.0</v>
      </c>
      <c r="B16" s="36" t="s">
        <v>69</v>
      </c>
      <c r="C16" s="30" t="s">
        <v>212</v>
      </c>
      <c r="D16" s="30" t="s">
        <v>49</v>
      </c>
      <c r="E16" s="30" t="s">
        <v>110</v>
      </c>
      <c r="F16" s="30" t="s">
        <v>78</v>
      </c>
      <c r="G16" s="30" t="s">
        <v>50</v>
      </c>
      <c r="H16" s="30">
        <v>2.11543027252E11</v>
      </c>
      <c r="I16" s="30">
        <v>9.785851131E9</v>
      </c>
      <c r="J16" s="42" t="s">
        <v>213</v>
      </c>
      <c r="K16" s="30"/>
      <c r="L16" s="30">
        <v>200000.0</v>
      </c>
      <c r="M16" s="30">
        <v>180000.0</v>
      </c>
      <c r="N16" s="30">
        <v>180000.0</v>
      </c>
      <c r="O16" s="36">
        <f t="shared" si="1"/>
        <v>0</v>
      </c>
      <c r="P16" s="36" t="s">
        <v>90</v>
      </c>
      <c r="Q16" s="36" t="s">
        <v>71</v>
      </c>
      <c r="R16" s="36" t="s">
        <v>92</v>
      </c>
      <c r="S16" s="30" t="s">
        <v>93</v>
      </c>
      <c r="T16" s="30" t="s">
        <v>94</v>
      </c>
      <c r="U16" s="37" t="s">
        <v>95</v>
      </c>
      <c r="V16" s="30">
        <v>126000.0</v>
      </c>
      <c r="W16" s="30">
        <v>54000.0</v>
      </c>
      <c r="X16" s="30">
        <v>0.0</v>
      </c>
      <c r="Y16" s="30">
        <f t="shared" si="2"/>
        <v>0</v>
      </c>
      <c r="Z16" s="30">
        <f t="shared" si="3"/>
        <v>0</v>
      </c>
      <c r="AA16" s="30">
        <f t="shared" si="4"/>
        <v>0</v>
      </c>
      <c r="AB16" s="30">
        <f t="shared" si="5"/>
        <v>180000</v>
      </c>
      <c r="AC16" s="39"/>
      <c r="AD16" s="30">
        <f>126000+54000</f>
        <v>180000</v>
      </c>
      <c r="AE16" s="39">
        <f t="shared" si="6"/>
        <v>180000</v>
      </c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</row>
    <row r="17">
      <c r="A17" s="15">
        <v>13.0</v>
      </c>
      <c r="B17" s="15" t="s">
        <v>219</v>
      </c>
      <c r="C17" s="36" t="s">
        <v>221</v>
      </c>
      <c r="D17" s="36" t="s">
        <v>126</v>
      </c>
      <c r="E17" s="36"/>
      <c r="F17" s="36" t="s">
        <v>127</v>
      </c>
      <c r="G17" s="36" t="s">
        <v>68</v>
      </c>
      <c r="H17" s="41">
        <v>2.10474086611E11</v>
      </c>
      <c r="I17" s="41">
        <v>9.928804319E9</v>
      </c>
      <c r="J17" s="53" t="s">
        <v>222</v>
      </c>
      <c r="K17" s="41"/>
      <c r="L17" s="41">
        <v>265000.0</v>
      </c>
      <c r="M17" s="41">
        <v>265000.0</v>
      </c>
      <c r="N17" s="41">
        <v>189000.0</v>
      </c>
      <c r="O17" s="36">
        <f t="shared" si="1"/>
        <v>76000</v>
      </c>
      <c r="P17" s="36" t="s">
        <v>90</v>
      </c>
      <c r="Q17" s="36" t="s">
        <v>56</v>
      </c>
      <c r="R17" s="36" t="s">
        <v>92</v>
      </c>
      <c r="S17" s="30" t="s">
        <v>93</v>
      </c>
      <c r="T17" s="30" t="s">
        <v>94</v>
      </c>
      <c r="U17" s="37" t="s">
        <v>130</v>
      </c>
      <c r="V17" s="30">
        <v>132000.0</v>
      </c>
      <c r="W17" s="30">
        <v>57000.0</v>
      </c>
      <c r="X17" s="30">
        <f>50000+15000+10000</f>
        <v>75000</v>
      </c>
      <c r="Y17" s="30">
        <f t="shared" si="2"/>
        <v>0</v>
      </c>
      <c r="Z17" s="30">
        <f t="shared" si="3"/>
        <v>1000</v>
      </c>
      <c r="AA17" s="30">
        <f t="shared" si="4"/>
        <v>1000</v>
      </c>
      <c r="AB17" s="30">
        <f t="shared" si="5"/>
        <v>264000</v>
      </c>
      <c r="AC17" s="30">
        <f>50000+10000</f>
        <v>60000</v>
      </c>
      <c r="AD17" s="30">
        <f>132000+57000</f>
        <v>189000</v>
      </c>
      <c r="AE17" s="39">
        <f t="shared" si="6"/>
        <v>249000</v>
      </c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</row>
    <row r="18">
      <c r="A18" s="15">
        <v>14.0</v>
      </c>
      <c r="B18" s="36" t="s">
        <v>141</v>
      </c>
      <c r="C18" s="30" t="s">
        <v>225</v>
      </c>
      <c r="D18" s="30" t="s">
        <v>49</v>
      </c>
      <c r="E18" s="30" t="s">
        <v>110</v>
      </c>
      <c r="F18" s="30" t="s">
        <v>67</v>
      </c>
      <c r="G18" s="30" t="s">
        <v>68</v>
      </c>
      <c r="H18" s="30">
        <v>2.10474040413E11</v>
      </c>
      <c r="I18" s="30">
        <v>9.829435324E9</v>
      </c>
      <c r="J18" s="42" t="s">
        <v>226</v>
      </c>
      <c r="K18" s="30" t="s">
        <v>227</v>
      </c>
      <c r="L18" s="30">
        <v>190000.0</v>
      </c>
      <c r="M18" s="30">
        <v>170000.0</v>
      </c>
      <c r="N18" s="30">
        <v>170000.0</v>
      </c>
      <c r="O18" s="36">
        <f t="shared" si="1"/>
        <v>0</v>
      </c>
      <c r="P18" s="36" t="s">
        <v>90</v>
      </c>
      <c r="Q18" s="36" t="s">
        <v>56</v>
      </c>
      <c r="R18" s="36" t="s">
        <v>92</v>
      </c>
      <c r="S18" s="30" t="s">
        <v>93</v>
      </c>
      <c r="T18" s="30" t="s">
        <v>94</v>
      </c>
      <c r="U18" s="37" t="s">
        <v>95</v>
      </c>
      <c r="V18" s="30">
        <v>119000.0</v>
      </c>
      <c r="W18" s="30">
        <v>51000.0</v>
      </c>
      <c r="X18" s="30">
        <v>0.0</v>
      </c>
      <c r="Y18" s="30">
        <f t="shared" si="2"/>
        <v>0</v>
      </c>
      <c r="Z18" s="30">
        <f t="shared" si="3"/>
        <v>0</v>
      </c>
      <c r="AA18" s="30">
        <f t="shared" si="4"/>
        <v>0</v>
      </c>
      <c r="AB18" s="30">
        <f t="shared" si="5"/>
        <v>170000</v>
      </c>
      <c r="AC18" s="39"/>
      <c r="AD18" s="30">
        <f>119000+51000</f>
        <v>170000</v>
      </c>
      <c r="AE18" s="39">
        <f t="shared" si="6"/>
        <v>170000</v>
      </c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39"/>
      <c r="AW18" s="39"/>
      <c r="AX18" s="39"/>
      <c r="AY18" s="39"/>
      <c r="AZ18" s="39"/>
      <c r="BA18" s="39"/>
      <c r="BB18" s="39"/>
      <c r="BC18" s="39"/>
      <c r="BD18" s="39"/>
      <c r="BE18" s="39"/>
      <c r="BF18" s="39"/>
      <c r="BG18" s="39"/>
      <c r="BH18" s="39"/>
      <c r="BI18" s="39"/>
      <c r="BJ18" s="39"/>
      <c r="BK18" s="39"/>
      <c r="BL18" s="39"/>
      <c r="BM18" s="39"/>
      <c r="BN18" s="39"/>
      <c r="BO18" s="39"/>
      <c r="BP18" s="39"/>
      <c r="BQ18" s="39"/>
      <c r="BR18" s="39"/>
      <c r="BS18" s="39"/>
      <c r="BT18" s="39"/>
      <c r="BU18" s="39"/>
    </row>
    <row r="19">
      <c r="A19" s="15">
        <v>15.0</v>
      </c>
      <c r="B19" s="30" t="s">
        <v>69</v>
      </c>
      <c r="C19" s="30" t="s">
        <v>231</v>
      </c>
      <c r="D19" s="30" t="s">
        <v>49</v>
      </c>
      <c r="E19" s="30" t="s">
        <v>110</v>
      </c>
      <c r="F19" s="30" t="s">
        <v>54</v>
      </c>
      <c r="G19" s="30" t="s">
        <v>54</v>
      </c>
      <c r="H19" s="30">
        <v>2.11529010181E11</v>
      </c>
      <c r="I19" s="30">
        <v>9.587872987E9</v>
      </c>
      <c r="J19" s="42" t="s">
        <v>232</v>
      </c>
      <c r="K19" s="30" t="s">
        <v>233</v>
      </c>
      <c r="L19" s="30">
        <v>190000.0</v>
      </c>
      <c r="M19" s="30">
        <v>171000.0</v>
      </c>
      <c r="N19" s="30">
        <v>171000.0</v>
      </c>
      <c r="O19" s="36">
        <f t="shared" si="1"/>
        <v>0</v>
      </c>
      <c r="P19" s="36" t="s">
        <v>90</v>
      </c>
      <c r="Q19" s="36" t="s">
        <v>56</v>
      </c>
      <c r="R19" s="36" t="s">
        <v>92</v>
      </c>
      <c r="S19" s="30" t="s">
        <v>93</v>
      </c>
      <c r="T19" s="30" t="s">
        <v>94</v>
      </c>
      <c r="U19" s="37" t="s">
        <v>95</v>
      </c>
      <c r="V19" s="30">
        <v>119000.0</v>
      </c>
      <c r="W19" s="30">
        <v>52000.0</v>
      </c>
      <c r="X19" s="30">
        <v>0.0</v>
      </c>
      <c r="Y19" s="30">
        <f t="shared" si="2"/>
        <v>0</v>
      </c>
      <c r="Z19" s="30">
        <f t="shared" si="3"/>
        <v>0</v>
      </c>
      <c r="AA19" s="30">
        <f t="shared" si="4"/>
        <v>0</v>
      </c>
      <c r="AB19" s="30">
        <f t="shared" si="5"/>
        <v>171000</v>
      </c>
      <c r="AC19" s="39"/>
      <c r="AD19" s="30">
        <f>119000+52000</f>
        <v>171000</v>
      </c>
      <c r="AE19" s="39">
        <f t="shared" si="6"/>
        <v>171000</v>
      </c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</row>
    <row r="20">
      <c r="A20" s="15">
        <v>16.0</v>
      </c>
      <c r="B20" s="59" t="s">
        <v>238</v>
      </c>
      <c r="C20" s="30" t="s">
        <v>239</v>
      </c>
      <c r="D20" s="30" t="s">
        <v>53</v>
      </c>
      <c r="E20" s="30" t="s">
        <v>110</v>
      </c>
      <c r="F20" s="30" t="s">
        <v>241</v>
      </c>
      <c r="G20" s="30" t="s">
        <v>242</v>
      </c>
      <c r="H20" s="30">
        <v>2.11544017141E11</v>
      </c>
      <c r="I20" s="30">
        <v>9.660028311E9</v>
      </c>
      <c r="J20" s="42" t="s">
        <v>243</v>
      </c>
      <c r="K20" s="30" t="s">
        <v>244</v>
      </c>
      <c r="L20" s="30">
        <v>250000.0</v>
      </c>
      <c r="M20" s="30">
        <v>250000.0</v>
      </c>
      <c r="N20" s="30">
        <v>200000.0</v>
      </c>
      <c r="O20" s="36">
        <f t="shared" si="1"/>
        <v>50000</v>
      </c>
      <c r="P20" s="36" t="s">
        <v>90</v>
      </c>
      <c r="Q20" s="36" t="s">
        <v>71</v>
      </c>
      <c r="R20" s="36" t="s">
        <v>92</v>
      </c>
      <c r="S20" s="30" t="s">
        <v>93</v>
      </c>
      <c r="T20" s="30" t="s">
        <v>94</v>
      </c>
      <c r="U20" s="37" t="s">
        <v>130</v>
      </c>
      <c r="V20" s="30">
        <v>140000.0</v>
      </c>
      <c r="W20" s="30">
        <v>60000.0</v>
      </c>
      <c r="X20" s="30">
        <v>0.0</v>
      </c>
      <c r="Y20" s="30">
        <f t="shared" si="2"/>
        <v>0</v>
      </c>
      <c r="Z20" s="30">
        <f t="shared" si="3"/>
        <v>50000</v>
      </c>
      <c r="AA20" s="30">
        <f t="shared" si="4"/>
        <v>50000</v>
      </c>
      <c r="AB20" s="30">
        <f t="shared" si="5"/>
        <v>200000</v>
      </c>
      <c r="AC20" s="39"/>
      <c r="AD20" s="30">
        <f>140000+60000</f>
        <v>200000</v>
      </c>
      <c r="AE20" s="39">
        <f t="shared" si="6"/>
        <v>200000</v>
      </c>
      <c r="AF20" s="34" t="s">
        <v>246</v>
      </c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  <c r="AU20" s="29"/>
    </row>
    <row r="21">
      <c r="A21" s="15">
        <v>17.0</v>
      </c>
      <c r="B21" s="30" t="s">
        <v>69</v>
      </c>
      <c r="C21" s="30" t="s">
        <v>247</v>
      </c>
      <c r="D21" s="30" t="s">
        <v>49</v>
      </c>
      <c r="E21" s="30" t="s">
        <v>110</v>
      </c>
      <c r="F21" s="30" t="s">
        <v>67</v>
      </c>
      <c r="G21" s="30" t="s">
        <v>68</v>
      </c>
      <c r="H21" s="30">
        <v>2.10474058598E11</v>
      </c>
      <c r="I21" s="30">
        <v>9.887097038E9</v>
      </c>
      <c r="J21" s="42" t="s">
        <v>248</v>
      </c>
      <c r="K21" s="30" t="s">
        <v>249</v>
      </c>
      <c r="L21" s="30">
        <v>200000.0</v>
      </c>
      <c r="M21" s="30">
        <v>180000.0</v>
      </c>
      <c r="N21" s="30">
        <v>180000.0</v>
      </c>
      <c r="O21" s="36">
        <f t="shared" si="1"/>
        <v>0</v>
      </c>
      <c r="P21" s="36" t="s">
        <v>90</v>
      </c>
      <c r="Q21" s="36" t="s">
        <v>71</v>
      </c>
      <c r="R21" s="36" t="s">
        <v>92</v>
      </c>
      <c r="S21" s="30" t="s">
        <v>93</v>
      </c>
      <c r="T21" s="30" t="s">
        <v>94</v>
      </c>
      <c r="U21" s="37" t="s">
        <v>95</v>
      </c>
      <c r="V21" s="30">
        <v>126000.0</v>
      </c>
      <c r="W21" s="30">
        <v>54000.0</v>
      </c>
      <c r="X21" s="30">
        <v>0.0</v>
      </c>
      <c r="Y21" s="30">
        <f t="shared" si="2"/>
        <v>0</v>
      </c>
      <c r="Z21" s="30">
        <f t="shared" si="3"/>
        <v>0</v>
      </c>
      <c r="AA21" s="30">
        <f t="shared" si="4"/>
        <v>0</v>
      </c>
      <c r="AB21" s="30">
        <f t="shared" si="5"/>
        <v>180000</v>
      </c>
      <c r="AC21" s="39"/>
      <c r="AD21" s="30">
        <f>126000+54000</f>
        <v>180000</v>
      </c>
      <c r="AE21" s="39">
        <f t="shared" si="6"/>
        <v>180000</v>
      </c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/>
      <c r="BO21" s="29"/>
      <c r="BP21" s="29"/>
      <c r="BQ21" s="29"/>
      <c r="BR21" s="29"/>
      <c r="BS21" s="29"/>
      <c r="BT21" s="29"/>
      <c r="BU21" s="29"/>
    </row>
    <row r="22">
      <c r="A22" s="15">
        <v>18.0</v>
      </c>
      <c r="B22" s="59" t="s">
        <v>254</v>
      </c>
      <c r="C22" s="30" t="s">
        <v>255</v>
      </c>
      <c r="D22" s="30" t="s">
        <v>126</v>
      </c>
      <c r="E22" s="30" t="s">
        <v>72</v>
      </c>
      <c r="F22" s="30" t="s">
        <v>256</v>
      </c>
      <c r="G22" s="30" t="s">
        <v>54</v>
      </c>
      <c r="H22" s="30">
        <v>2.11529006454E11</v>
      </c>
      <c r="I22" s="30">
        <v>9.92801419E9</v>
      </c>
      <c r="J22" s="42" t="s">
        <v>257</v>
      </c>
      <c r="K22" s="30" t="s">
        <v>258</v>
      </c>
      <c r="L22" s="30">
        <v>295000.0</v>
      </c>
      <c r="M22" s="30">
        <v>295000.0</v>
      </c>
      <c r="N22" s="30">
        <v>199000.0</v>
      </c>
      <c r="O22" s="36">
        <f t="shared" si="1"/>
        <v>96000</v>
      </c>
      <c r="P22" s="36" t="s">
        <v>90</v>
      </c>
      <c r="Q22" s="36" t="s">
        <v>71</v>
      </c>
      <c r="R22" s="36" t="s">
        <v>92</v>
      </c>
      <c r="S22" s="30" t="s">
        <v>93</v>
      </c>
      <c r="T22" s="30" t="s">
        <v>94</v>
      </c>
      <c r="U22" s="37" t="s">
        <v>130</v>
      </c>
      <c r="V22" s="30">
        <v>110500.0</v>
      </c>
      <c r="W22" s="30">
        <v>88500.0</v>
      </c>
      <c r="X22" s="30">
        <f>85000+5000</f>
        <v>90000</v>
      </c>
      <c r="Y22" s="30">
        <f t="shared" si="2"/>
        <v>0</v>
      </c>
      <c r="Z22" s="30">
        <f t="shared" si="3"/>
        <v>6000</v>
      </c>
      <c r="AA22" s="30">
        <f t="shared" si="4"/>
        <v>6000</v>
      </c>
      <c r="AB22" s="30">
        <f t="shared" si="5"/>
        <v>289000</v>
      </c>
      <c r="AC22" s="30">
        <v>85000.0</v>
      </c>
      <c r="AD22" s="30">
        <v>199000.0</v>
      </c>
      <c r="AE22" s="39">
        <f t="shared" si="6"/>
        <v>284000</v>
      </c>
      <c r="AF22" s="34" t="s">
        <v>262</v>
      </c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</row>
    <row r="23">
      <c r="A23" s="15">
        <v>19.0</v>
      </c>
      <c r="B23" s="30" t="s">
        <v>69</v>
      </c>
      <c r="C23" s="30" t="s">
        <v>263</v>
      </c>
      <c r="D23" s="30" t="s">
        <v>53</v>
      </c>
      <c r="E23" s="30"/>
      <c r="F23" s="30" t="s">
        <v>264</v>
      </c>
      <c r="G23" s="30" t="s">
        <v>265</v>
      </c>
      <c r="H23" s="30">
        <v>2.11584062063E11</v>
      </c>
      <c r="I23" s="30">
        <v>9.309399383E9</v>
      </c>
      <c r="J23" s="30" t="s">
        <v>266</v>
      </c>
      <c r="K23" s="30" t="s">
        <v>267</v>
      </c>
      <c r="L23" s="30">
        <v>250000.0</v>
      </c>
      <c r="M23" s="30">
        <v>240000.0</v>
      </c>
      <c r="N23" s="30">
        <v>240000.0</v>
      </c>
      <c r="O23" s="36">
        <f t="shared" si="1"/>
        <v>0</v>
      </c>
      <c r="P23" s="36" t="s">
        <v>90</v>
      </c>
      <c r="Q23" s="36" t="s">
        <v>56</v>
      </c>
      <c r="R23" s="36" t="s">
        <v>92</v>
      </c>
      <c r="S23" s="30" t="s">
        <v>93</v>
      </c>
      <c r="T23" s="30" t="s">
        <v>94</v>
      </c>
      <c r="U23" s="37" t="s">
        <v>95</v>
      </c>
      <c r="V23" s="30">
        <v>120000.0</v>
      </c>
      <c r="W23" s="30">
        <v>120000.0</v>
      </c>
      <c r="X23" s="30">
        <v>0.0</v>
      </c>
      <c r="Y23" s="30">
        <f t="shared" si="2"/>
        <v>0</v>
      </c>
      <c r="Z23" s="30">
        <f t="shared" si="3"/>
        <v>0</v>
      </c>
      <c r="AA23" s="30">
        <f t="shared" si="4"/>
        <v>0</v>
      </c>
      <c r="AB23" s="30">
        <f t="shared" si="5"/>
        <v>240000</v>
      </c>
      <c r="AC23" s="39"/>
      <c r="AD23" s="30">
        <f>120000+120000</f>
        <v>240000</v>
      </c>
      <c r="AE23" s="39">
        <f t="shared" si="6"/>
        <v>240000</v>
      </c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</row>
    <row r="24">
      <c r="A24" s="15">
        <v>20.0</v>
      </c>
      <c r="B24" s="59" t="s">
        <v>238</v>
      </c>
      <c r="C24" s="30" t="s">
        <v>270</v>
      </c>
      <c r="D24" s="30" t="s">
        <v>271</v>
      </c>
      <c r="E24" s="30" t="s">
        <v>72</v>
      </c>
      <c r="F24" s="30" t="s">
        <v>98</v>
      </c>
      <c r="G24" s="30" t="s">
        <v>54</v>
      </c>
      <c r="H24" s="30">
        <v>2.1152902271E11</v>
      </c>
      <c r="I24" s="30">
        <v>7.014528231E9</v>
      </c>
      <c r="J24" s="30" t="s">
        <v>272</v>
      </c>
      <c r="K24" s="30"/>
      <c r="L24" s="30">
        <v>370000.0</v>
      </c>
      <c r="M24" s="30">
        <v>370000.0</v>
      </c>
      <c r="N24" s="30">
        <v>0.0</v>
      </c>
      <c r="O24" s="36">
        <f t="shared" si="1"/>
        <v>370000</v>
      </c>
      <c r="P24" s="36" t="s">
        <v>90</v>
      </c>
      <c r="Q24" s="36" t="s">
        <v>71</v>
      </c>
      <c r="R24" s="36" t="s">
        <v>115</v>
      </c>
      <c r="S24" s="30" t="s">
        <v>93</v>
      </c>
      <c r="T24" s="30" t="s">
        <v>94</v>
      </c>
      <c r="U24" s="37" t="s">
        <v>130</v>
      </c>
      <c r="V24" s="30">
        <v>0.0</v>
      </c>
      <c r="W24" s="30">
        <v>0.0</v>
      </c>
      <c r="X24" s="30">
        <f>100000+200000+20000</f>
        <v>320000</v>
      </c>
      <c r="Y24" s="30">
        <f t="shared" si="2"/>
        <v>0</v>
      </c>
      <c r="Z24" s="30">
        <f t="shared" si="3"/>
        <v>50000</v>
      </c>
      <c r="AA24" s="30">
        <f t="shared" si="4"/>
        <v>50000</v>
      </c>
      <c r="AB24" s="30">
        <f t="shared" si="5"/>
        <v>320000</v>
      </c>
      <c r="AC24" s="30">
        <f>100000+200000+20000</f>
        <v>320000</v>
      </c>
      <c r="AD24" s="39"/>
      <c r="AE24" s="39">
        <f t="shared" si="6"/>
        <v>320000</v>
      </c>
      <c r="AF24" s="34" t="s">
        <v>246</v>
      </c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</row>
    <row r="25">
      <c r="A25" s="15">
        <v>21.0</v>
      </c>
      <c r="B25" s="30" t="s">
        <v>279</v>
      </c>
      <c r="C25" s="30" t="s">
        <v>280</v>
      </c>
      <c r="D25" s="30" t="s">
        <v>281</v>
      </c>
      <c r="E25" s="30" t="s">
        <v>72</v>
      </c>
      <c r="F25" s="30" t="s">
        <v>67</v>
      </c>
      <c r="G25" s="30" t="s">
        <v>68</v>
      </c>
      <c r="H25" s="30">
        <v>2.10474067845E11</v>
      </c>
      <c r="I25" s="30">
        <v>9.166637169E9</v>
      </c>
      <c r="J25" s="42" t="s">
        <v>282</v>
      </c>
      <c r="K25" s="30" t="s">
        <v>283</v>
      </c>
      <c r="L25" s="30">
        <v>280000.0</v>
      </c>
      <c r="M25" s="30">
        <v>290000.0</v>
      </c>
      <c r="N25" s="30">
        <v>0.0</v>
      </c>
      <c r="O25" s="36">
        <f t="shared" si="1"/>
        <v>290000</v>
      </c>
      <c r="P25" s="36" t="s">
        <v>90</v>
      </c>
      <c r="Q25" s="36" t="s">
        <v>71</v>
      </c>
      <c r="R25" s="36" t="s">
        <v>115</v>
      </c>
      <c r="S25" s="30" t="s">
        <v>93</v>
      </c>
      <c r="T25" s="30" t="s">
        <v>204</v>
      </c>
      <c r="U25" s="37" t="s">
        <v>95</v>
      </c>
      <c r="V25" s="30">
        <v>0.0</v>
      </c>
      <c r="W25" s="30">
        <v>0.0</v>
      </c>
      <c r="X25" s="30">
        <f>150000+140000</f>
        <v>290000</v>
      </c>
      <c r="Y25" s="30">
        <f t="shared" si="2"/>
        <v>0</v>
      </c>
      <c r="Z25" s="30">
        <f t="shared" si="3"/>
        <v>0</v>
      </c>
      <c r="AA25" s="30">
        <f t="shared" si="4"/>
        <v>0</v>
      </c>
      <c r="AB25" s="30">
        <f t="shared" si="5"/>
        <v>290000</v>
      </c>
      <c r="AC25" s="30">
        <f>150000+140000</f>
        <v>290000</v>
      </c>
      <c r="AD25" s="39"/>
      <c r="AE25" s="39">
        <f t="shared" si="6"/>
        <v>290000</v>
      </c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39"/>
      <c r="AW25" s="39"/>
      <c r="AX25" s="39"/>
      <c r="AY25" s="39"/>
      <c r="AZ25" s="39"/>
      <c r="BA25" s="39"/>
      <c r="BB25" s="39"/>
      <c r="BC25" s="39"/>
      <c r="BD25" s="39"/>
      <c r="BE25" s="39"/>
      <c r="BF25" s="39"/>
      <c r="BG25" s="39"/>
      <c r="BH25" s="39"/>
      <c r="BI25" s="39"/>
      <c r="BJ25" s="39"/>
      <c r="BK25" s="39"/>
      <c r="BL25" s="39"/>
      <c r="BM25" s="39"/>
      <c r="BN25" s="39"/>
      <c r="BO25" s="39"/>
      <c r="BP25" s="39"/>
      <c r="BQ25" s="39"/>
      <c r="BR25" s="39"/>
      <c r="BS25" s="39"/>
      <c r="BT25" s="39"/>
      <c r="BU25" s="39"/>
    </row>
    <row r="26">
      <c r="A26" s="15">
        <v>22.0</v>
      </c>
      <c r="B26" s="36" t="s">
        <v>69</v>
      </c>
      <c r="C26" s="30" t="s">
        <v>291</v>
      </c>
      <c r="D26" s="30" t="s">
        <v>153</v>
      </c>
      <c r="E26" s="30" t="s">
        <v>110</v>
      </c>
      <c r="F26" s="30" t="s">
        <v>67</v>
      </c>
      <c r="G26" s="30" t="s">
        <v>68</v>
      </c>
      <c r="H26" s="30">
        <v>2.10474053536E11</v>
      </c>
      <c r="I26" s="30">
        <v>9.929575938E9</v>
      </c>
      <c r="J26" s="42" t="s">
        <v>292</v>
      </c>
      <c r="K26" s="54" t="s">
        <v>293</v>
      </c>
      <c r="L26" s="30">
        <v>200000.0</v>
      </c>
      <c r="M26" s="30">
        <v>180000.0</v>
      </c>
      <c r="N26" s="30">
        <v>180000.0</v>
      </c>
      <c r="O26" s="36">
        <f t="shared" si="1"/>
        <v>0</v>
      </c>
      <c r="P26" s="36" t="s">
        <v>90</v>
      </c>
      <c r="Q26" s="36" t="s">
        <v>71</v>
      </c>
      <c r="R26" s="36" t="s">
        <v>92</v>
      </c>
      <c r="S26" s="30" t="s">
        <v>93</v>
      </c>
      <c r="T26" s="30" t="s">
        <v>94</v>
      </c>
      <c r="U26" s="37" t="s">
        <v>95</v>
      </c>
      <c r="V26" s="30">
        <v>126000.0</v>
      </c>
      <c r="W26" s="30">
        <v>54000.0</v>
      </c>
      <c r="X26" s="30">
        <v>0.0</v>
      </c>
      <c r="Y26" s="30">
        <f t="shared" si="2"/>
        <v>0</v>
      </c>
      <c r="Z26" s="30">
        <f t="shared" si="3"/>
        <v>0</v>
      </c>
      <c r="AA26" s="30">
        <f t="shared" si="4"/>
        <v>0</v>
      </c>
      <c r="AB26" s="30">
        <f t="shared" si="5"/>
        <v>180000</v>
      </c>
      <c r="AC26" s="39"/>
      <c r="AD26" s="30">
        <v>126000.0</v>
      </c>
      <c r="AE26" s="39">
        <f t="shared" si="6"/>
        <v>126000</v>
      </c>
      <c r="AF26" s="29"/>
      <c r="AG26" s="34"/>
      <c r="AH26" s="29"/>
      <c r="AI26" s="34"/>
      <c r="AJ26" s="29"/>
      <c r="AK26" s="29"/>
      <c r="AL26" s="29"/>
      <c r="AM26" s="34"/>
      <c r="AN26" s="29"/>
      <c r="AO26" s="34"/>
      <c r="AP26" s="29"/>
      <c r="AQ26" s="34"/>
      <c r="AR26" s="29"/>
      <c r="AS26" s="29"/>
      <c r="AT26" s="29"/>
      <c r="AU26" s="29"/>
      <c r="AV26" s="39"/>
      <c r="AW26" s="39"/>
      <c r="AX26" s="39"/>
      <c r="AY26" s="39"/>
      <c r="AZ26" s="39"/>
      <c r="BA26" s="39"/>
      <c r="BB26" s="39"/>
      <c r="BC26" s="39"/>
      <c r="BD26" s="39"/>
      <c r="BE26" s="39"/>
      <c r="BF26" s="39"/>
      <c r="BG26" s="39"/>
      <c r="BH26" s="39"/>
      <c r="BI26" s="39"/>
      <c r="BJ26" s="39"/>
      <c r="BK26" s="39"/>
      <c r="BL26" s="39"/>
      <c r="BM26" s="39"/>
      <c r="BN26" s="39"/>
      <c r="BO26" s="39"/>
      <c r="BP26" s="39"/>
      <c r="BQ26" s="39"/>
      <c r="BR26" s="39"/>
      <c r="BS26" s="39"/>
      <c r="BT26" s="39"/>
      <c r="BU26" s="39"/>
    </row>
    <row r="27">
      <c r="A27" s="15">
        <v>23.0</v>
      </c>
      <c r="B27" s="30" t="s">
        <v>69</v>
      </c>
      <c r="C27" s="30" t="s">
        <v>295</v>
      </c>
      <c r="D27" s="30" t="s">
        <v>49</v>
      </c>
      <c r="E27" s="30" t="s">
        <v>110</v>
      </c>
      <c r="F27" s="30" t="s">
        <v>297</v>
      </c>
      <c r="G27" s="30" t="s">
        <v>50</v>
      </c>
      <c r="H27" s="41">
        <v>2.1154303039E11</v>
      </c>
      <c r="I27" s="36">
        <v>9.376065763E9</v>
      </c>
      <c r="J27" s="36" t="s">
        <v>299</v>
      </c>
      <c r="K27" s="30" t="s">
        <v>300</v>
      </c>
      <c r="L27" s="30">
        <v>200000.0</v>
      </c>
      <c r="M27" s="30">
        <v>180000.0</v>
      </c>
      <c r="N27" s="30">
        <v>180000.0</v>
      </c>
      <c r="O27" s="36">
        <f t="shared" si="1"/>
        <v>0</v>
      </c>
      <c r="P27" s="36" t="s">
        <v>90</v>
      </c>
      <c r="Q27" s="36" t="s">
        <v>71</v>
      </c>
      <c r="R27" s="36" t="s">
        <v>92</v>
      </c>
      <c r="S27" s="30" t="s">
        <v>93</v>
      </c>
      <c r="T27" s="30" t="s">
        <v>94</v>
      </c>
      <c r="U27" s="37" t="s">
        <v>95</v>
      </c>
      <c r="V27" s="30">
        <v>126000.0</v>
      </c>
      <c r="W27" s="30">
        <v>54000.0</v>
      </c>
      <c r="X27" s="30">
        <v>0.0</v>
      </c>
      <c r="Y27" s="30">
        <f t="shared" si="2"/>
        <v>0</v>
      </c>
      <c r="Z27" s="30">
        <f t="shared" si="3"/>
        <v>0</v>
      </c>
      <c r="AA27" s="30">
        <f t="shared" si="4"/>
        <v>0</v>
      </c>
      <c r="AB27" s="30">
        <f t="shared" si="5"/>
        <v>180000</v>
      </c>
      <c r="AC27" s="39"/>
      <c r="AD27" s="30">
        <v>180000.0</v>
      </c>
      <c r="AE27" s="39">
        <f t="shared" si="6"/>
        <v>180000</v>
      </c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39"/>
      <c r="AW27" s="39"/>
      <c r="AX27" s="39"/>
      <c r="AY27" s="39"/>
      <c r="AZ27" s="39"/>
      <c r="BA27" s="39"/>
      <c r="BB27" s="39"/>
      <c r="BC27" s="39"/>
      <c r="BD27" s="39"/>
      <c r="BE27" s="39"/>
      <c r="BF27" s="39"/>
      <c r="BG27" s="39"/>
      <c r="BH27" s="39"/>
      <c r="BI27" s="39"/>
      <c r="BJ27" s="39"/>
      <c r="BK27" s="39"/>
      <c r="BL27" s="39"/>
      <c r="BM27" s="39"/>
      <c r="BN27" s="39"/>
      <c r="BO27" s="39"/>
      <c r="BP27" s="39"/>
      <c r="BQ27" s="39"/>
      <c r="BR27" s="39"/>
      <c r="BS27" s="39"/>
      <c r="BT27" s="39"/>
      <c r="BU27" s="39"/>
    </row>
    <row r="28">
      <c r="A28" s="15">
        <v>24.0</v>
      </c>
      <c r="B28" s="30" t="s">
        <v>279</v>
      </c>
      <c r="C28" s="30" t="s">
        <v>305</v>
      </c>
      <c r="D28" s="30" t="s">
        <v>49</v>
      </c>
      <c r="E28" s="30" t="s">
        <v>110</v>
      </c>
      <c r="F28" s="30" t="s">
        <v>308</v>
      </c>
      <c r="G28" s="30" t="s">
        <v>50</v>
      </c>
      <c r="H28" s="30">
        <v>2.1154300734E11</v>
      </c>
      <c r="I28" s="30">
        <v>9.64948204E9</v>
      </c>
      <c r="J28" s="30" t="s">
        <v>310</v>
      </c>
      <c r="K28" s="58" t="s">
        <v>311</v>
      </c>
      <c r="L28" s="30">
        <v>200000.0</v>
      </c>
      <c r="M28" s="30">
        <v>180000.0</v>
      </c>
      <c r="N28" s="30">
        <v>180000.0</v>
      </c>
      <c r="O28" s="36">
        <f t="shared" si="1"/>
        <v>0</v>
      </c>
      <c r="P28" s="36" t="s">
        <v>90</v>
      </c>
      <c r="Q28" s="36" t="s">
        <v>71</v>
      </c>
      <c r="R28" s="36" t="s">
        <v>92</v>
      </c>
      <c r="S28" s="30" t="s">
        <v>93</v>
      </c>
      <c r="T28" s="30" t="s">
        <v>204</v>
      </c>
      <c r="U28" s="37" t="s">
        <v>95</v>
      </c>
      <c r="V28" s="30">
        <v>126000.0</v>
      </c>
      <c r="W28" s="30">
        <v>54000.0</v>
      </c>
      <c r="X28" s="30">
        <v>0.0</v>
      </c>
      <c r="Y28" s="30">
        <f t="shared" si="2"/>
        <v>0</v>
      </c>
      <c r="Z28" s="30">
        <f t="shared" si="3"/>
        <v>0</v>
      </c>
      <c r="AA28" s="30">
        <f t="shared" si="4"/>
        <v>0</v>
      </c>
      <c r="AB28" s="30">
        <f t="shared" si="5"/>
        <v>180000</v>
      </c>
      <c r="AC28" s="30">
        <v>95000.0</v>
      </c>
      <c r="AD28" s="30">
        <v>126000.0</v>
      </c>
      <c r="AE28" s="39">
        <f t="shared" si="6"/>
        <v>221000</v>
      </c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</row>
    <row r="29">
      <c r="A29" s="15">
        <v>25.0</v>
      </c>
      <c r="B29" s="36" t="s">
        <v>315</v>
      </c>
      <c r="C29" s="30" t="s">
        <v>316</v>
      </c>
      <c r="D29" s="30" t="s">
        <v>49</v>
      </c>
      <c r="E29" s="30" t="s">
        <v>110</v>
      </c>
      <c r="F29" s="30" t="s">
        <v>317</v>
      </c>
      <c r="G29" s="30" t="s">
        <v>50</v>
      </c>
      <c r="H29" s="30">
        <v>2.11543031597E11</v>
      </c>
      <c r="I29" s="30">
        <v>9.929639417E9</v>
      </c>
      <c r="J29" s="42" t="s">
        <v>318</v>
      </c>
      <c r="K29" s="54" t="s">
        <v>319</v>
      </c>
      <c r="L29" s="30">
        <v>200000.0</v>
      </c>
      <c r="M29" s="30">
        <v>180000.0</v>
      </c>
      <c r="N29" s="30">
        <v>180000.0</v>
      </c>
      <c r="O29" s="36">
        <f t="shared" si="1"/>
        <v>0</v>
      </c>
      <c r="P29" s="36" t="s">
        <v>90</v>
      </c>
      <c r="Q29" s="36" t="s">
        <v>56</v>
      </c>
      <c r="R29" s="36" t="s">
        <v>92</v>
      </c>
      <c r="S29" s="30" t="s">
        <v>93</v>
      </c>
      <c r="T29" s="30" t="s">
        <v>94</v>
      </c>
      <c r="U29" s="37" t="s">
        <v>95</v>
      </c>
      <c r="V29" s="30">
        <v>126000.0</v>
      </c>
      <c r="W29" s="30">
        <v>54000.0</v>
      </c>
      <c r="X29" s="30">
        <v>0.0</v>
      </c>
      <c r="Y29" s="30">
        <f t="shared" si="2"/>
        <v>0</v>
      </c>
      <c r="Z29" s="30">
        <f t="shared" si="3"/>
        <v>0</v>
      </c>
      <c r="AA29" s="30">
        <f t="shared" si="4"/>
        <v>0</v>
      </c>
      <c r="AB29" s="30">
        <f t="shared" si="5"/>
        <v>180000</v>
      </c>
      <c r="AC29" s="39"/>
      <c r="AD29" s="30">
        <v>126000.0</v>
      </c>
      <c r="AE29" s="39">
        <f t="shared" si="6"/>
        <v>126000</v>
      </c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39"/>
      <c r="AW29" s="39"/>
      <c r="AX29" s="39"/>
      <c r="AY29" s="39"/>
      <c r="AZ29" s="39"/>
      <c r="BA29" s="39"/>
      <c r="BB29" s="39"/>
      <c r="BC29" s="39"/>
      <c r="BD29" s="39"/>
      <c r="BE29" s="39"/>
      <c r="BF29" s="39"/>
      <c r="BG29" s="39"/>
      <c r="BH29" s="39"/>
      <c r="BI29" s="39"/>
      <c r="BJ29" s="39"/>
      <c r="BK29" s="39"/>
      <c r="BL29" s="39"/>
      <c r="BM29" s="39"/>
      <c r="BN29" s="39"/>
      <c r="BO29" s="39"/>
      <c r="BP29" s="39"/>
      <c r="BQ29" s="39"/>
      <c r="BR29" s="39"/>
      <c r="BS29" s="39"/>
      <c r="BT29" s="39"/>
      <c r="BU29" s="39"/>
    </row>
    <row r="30">
      <c r="A30" s="15">
        <v>26.0</v>
      </c>
      <c r="B30" s="30" t="s">
        <v>30</v>
      </c>
      <c r="C30" s="30" t="s">
        <v>324</v>
      </c>
      <c r="D30" s="30" t="s">
        <v>49</v>
      </c>
      <c r="E30" s="30" t="s">
        <v>110</v>
      </c>
      <c r="F30" s="30" t="s">
        <v>242</v>
      </c>
      <c r="G30" s="30" t="s">
        <v>242</v>
      </c>
      <c r="H30" s="41">
        <v>2.11544020863E11</v>
      </c>
      <c r="I30" s="41">
        <v>9.571449195E9</v>
      </c>
      <c r="J30" s="78" t="s">
        <v>325</v>
      </c>
      <c r="K30" s="79" t="s">
        <v>326</v>
      </c>
      <c r="L30" s="30">
        <v>200000.0</v>
      </c>
      <c r="M30" s="30">
        <v>180000.0</v>
      </c>
      <c r="N30" s="30">
        <v>180000.0</v>
      </c>
      <c r="O30" s="36">
        <f t="shared" si="1"/>
        <v>0</v>
      </c>
      <c r="P30" s="36" t="s">
        <v>90</v>
      </c>
      <c r="Q30" s="36" t="s">
        <v>71</v>
      </c>
      <c r="R30" s="36" t="s">
        <v>92</v>
      </c>
      <c r="S30" s="30" t="s">
        <v>93</v>
      </c>
      <c r="T30" s="30" t="s">
        <v>204</v>
      </c>
      <c r="U30" s="37" t="s">
        <v>95</v>
      </c>
      <c r="V30" s="30">
        <v>126000.0</v>
      </c>
      <c r="W30" s="30">
        <v>54000.0</v>
      </c>
      <c r="X30" s="30">
        <v>0.0</v>
      </c>
      <c r="Y30" s="30">
        <f t="shared" si="2"/>
        <v>0</v>
      </c>
      <c r="Z30" s="30">
        <f t="shared" si="3"/>
        <v>0</v>
      </c>
      <c r="AA30" s="30">
        <f t="shared" si="4"/>
        <v>0</v>
      </c>
      <c r="AB30" s="30">
        <f t="shared" si="5"/>
        <v>180000</v>
      </c>
      <c r="AC30" s="39"/>
      <c r="AD30" s="30">
        <v>126000.0</v>
      </c>
      <c r="AE30" s="39">
        <f t="shared" si="6"/>
        <v>126000</v>
      </c>
      <c r="AF30" s="29"/>
      <c r="AG30" s="39"/>
      <c r="AH30" s="39"/>
      <c r="AI30" s="39"/>
      <c r="AJ30" s="39"/>
      <c r="AK30" s="39"/>
      <c r="AL30" s="39"/>
      <c r="AM30" s="39"/>
      <c r="AN30" s="39"/>
      <c r="AO30" s="39"/>
      <c r="AP30" s="39"/>
      <c r="AQ30" s="39"/>
      <c r="AR30" s="39"/>
      <c r="AS30" s="39"/>
      <c r="AT30" s="39"/>
      <c r="AU30" s="39"/>
      <c r="AV30" s="39"/>
      <c r="AW30" s="39"/>
      <c r="AX30" s="39"/>
      <c r="AY30" s="39"/>
      <c r="AZ30" s="39"/>
      <c r="BA30" s="39"/>
      <c r="BB30" s="39"/>
      <c r="BC30" s="39"/>
      <c r="BD30" s="39"/>
      <c r="BE30" s="39"/>
      <c r="BF30" s="39"/>
      <c r="BG30" s="39"/>
      <c r="BH30" s="39"/>
      <c r="BI30" s="39"/>
      <c r="BJ30" s="39"/>
      <c r="BK30" s="39"/>
      <c r="BL30" s="39"/>
      <c r="BM30" s="39"/>
      <c r="BN30" s="39"/>
      <c r="BO30" s="39"/>
      <c r="BP30" s="39"/>
      <c r="BQ30" s="39"/>
      <c r="BR30" s="39"/>
      <c r="BS30" s="39"/>
      <c r="BT30" s="39"/>
      <c r="BU30" s="39"/>
    </row>
    <row r="31">
      <c r="A31" s="15">
        <v>27.0</v>
      </c>
      <c r="B31" s="35" t="s">
        <v>330</v>
      </c>
      <c r="C31" s="35" t="s">
        <v>331</v>
      </c>
      <c r="D31" s="35" t="s">
        <v>49</v>
      </c>
      <c r="E31" s="35"/>
      <c r="F31" s="35" t="s">
        <v>116</v>
      </c>
      <c r="G31" s="35" t="s">
        <v>50</v>
      </c>
      <c r="H31" s="75">
        <v>2.11543009924E11</v>
      </c>
      <c r="I31" s="75">
        <v>9.950754631E9</v>
      </c>
      <c r="J31" s="80" t="s">
        <v>332</v>
      </c>
      <c r="K31" s="75"/>
      <c r="L31" s="75">
        <v>200000.0</v>
      </c>
      <c r="M31" s="75">
        <v>180000.0</v>
      </c>
      <c r="N31" s="75">
        <v>180000.0</v>
      </c>
      <c r="O31" s="15">
        <f t="shared" si="1"/>
        <v>0</v>
      </c>
      <c r="P31" s="35" t="s">
        <v>55</v>
      </c>
      <c r="Q31" s="35" t="s">
        <v>71</v>
      </c>
      <c r="R31" s="35" t="s">
        <v>60</v>
      </c>
      <c r="S31" s="34" t="s">
        <v>333</v>
      </c>
      <c r="T31" s="34" t="s">
        <v>63</v>
      </c>
      <c r="U31" s="60" t="s">
        <v>64</v>
      </c>
      <c r="V31" s="29"/>
      <c r="W31" s="29"/>
      <c r="X31" s="29"/>
      <c r="Y31" s="59">
        <f t="shared" si="2"/>
        <v>180000</v>
      </c>
      <c r="Z31" s="59">
        <f t="shared" si="3"/>
        <v>0</v>
      </c>
      <c r="AA31" s="59">
        <f t="shared" si="4"/>
        <v>180000</v>
      </c>
      <c r="AB31" s="59">
        <f t="shared" si="5"/>
        <v>0</v>
      </c>
      <c r="AC31" s="29"/>
      <c r="AD31" s="34">
        <v>0.0</v>
      </c>
      <c r="AE31" s="29">
        <f t="shared" si="6"/>
        <v>0</v>
      </c>
      <c r="AF31" s="29"/>
      <c r="AG31" s="34"/>
      <c r="AH31" s="29"/>
      <c r="AI31" s="34"/>
      <c r="AJ31" s="29"/>
      <c r="AK31" s="34"/>
      <c r="AL31" s="29"/>
      <c r="AM31" s="34"/>
      <c r="AN31" s="29"/>
      <c r="AO31" s="34"/>
      <c r="AP31" s="29"/>
      <c r="AQ31" s="34"/>
      <c r="AR31" s="29"/>
      <c r="AS31" s="34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</row>
    <row r="32">
      <c r="A32" s="15">
        <v>28.0</v>
      </c>
      <c r="B32" s="35" t="s">
        <v>340</v>
      </c>
      <c r="C32" s="59" t="s">
        <v>341</v>
      </c>
      <c r="D32" s="59" t="s">
        <v>126</v>
      </c>
      <c r="E32" s="59"/>
      <c r="F32" s="59" t="s">
        <v>342</v>
      </c>
      <c r="G32" s="59" t="s">
        <v>50</v>
      </c>
      <c r="H32" s="59">
        <v>2.11543008281E11</v>
      </c>
      <c r="I32" s="59">
        <v>9.660381454E9</v>
      </c>
      <c r="J32" s="55" t="s">
        <v>343</v>
      </c>
      <c r="K32" s="59"/>
      <c r="L32" s="59">
        <v>280000.0</v>
      </c>
      <c r="M32" s="59">
        <v>280000.0</v>
      </c>
      <c r="O32" s="15">
        <f t="shared" si="1"/>
        <v>280000</v>
      </c>
      <c r="P32" s="15" t="s">
        <v>55</v>
      </c>
      <c r="Q32" s="15" t="s">
        <v>71</v>
      </c>
      <c r="R32" s="15" t="s">
        <v>345</v>
      </c>
      <c r="S32" s="34" t="s">
        <v>333</v>
      </c>
      <c r="T32" s="59" t="s">
        <v>63</v>
      </c>
      <c r="U32" s="60" t="s">
        <v>64</v>
      </c>
      <c r="Y32" s="59">
        <f t="shared" si="2"/>
        <v>0</v>
      </c>
      <c r="Z32" s="59">
        <f t="shared" si="3"/>
        <v>280000</v>
      </c>
      <c r="AA32" s="59">
        <f t="shared" si="4"/>
        <v>280000</v>
      </c>
      <c r="AB32" s="59">
        <f t="shared" si="5"/>
        <v>0</v>
      </c>
      <c r="AE32" s="84">
        <f t="shared" si="6"/>
        <v>0</v>
      </c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34"/>
      <c r="AT32" s="29"/>
      <c r="AU32" s="29"/>
    </row>
    <row r="33">
      <c r="A33" s="15">
        <v>29.0</v>
      </c>
      <c r="B33" s="35" t="s">
        <v>348</v>
      </c>
      <c r="C33" s="59" t="s">
        <v>349</v>
      </c>
      <c r="D33" s="59" t="s">
        <v>53</v>
      </c>
      <c r="E33" s="59"/>
      <c r="F33" s="59" t="s">
        <v>116</v>
      </c>
      <c r="G33" s="59" t="s">
        <v>50</v>
      </c>
      <c r="H33" s="59">
        <v>2.11543007372E11</v>
      </c>
      <c r="I33" s="59">
        <v>9.54982208E9</v>
      </c>
      <c r="J33" s="55" t="s">
        <v>350</v>
      </c>
      <c r="K33" s="59"/>
      <c r="L33" s="59">
        <v>250000.0</v>
      </c>
      <c r="M33" s="59">
        <v>250000.0</v>
      </c>
      <c r="O33" s="15">
        <f t="shared" si="1"/>
        <v>250000</v>
      </c>
      <c r="P33" s="15" t="s">
        <v>55</v>
      </c>
      <c r="Q33" s="15" t="s">
        <v>71</v>
      </c>
      <c r="R33" s="15" t="s">
        <v>58</v>
      </c>
      <c r="S33" s="34" t="s">
        <v>333</v>
      </c>
      <c r="T33" s="59" t="s">
        <v>63</v>
      </c>
      <c r="U33" s="60" t="s">
        <v>64</v>
      </c>
      <c r="Y33" s="59">
        <f t="shared" si="2"/>
        <v>0</v>
      </c>
      <c r="Z33" s="59">
        <f t="shared" si="3"/>
        <v>250000</v>
      </c>
      <c r="AA33" s="59">
        <f t="shared" si="4"/>
        <v>250000</v>
      </c>
      <c r="AB33" s="59">
        <f t="shared" si="5"/>
        <v>0</v>
      </c>
      <c r="AE33" s="84">
        <f t="shared" si="6"/>
        <v>0</v>
      </c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</row>
    <row r="34">
      <c r="A34" s="15">
        <v>30.0</v>
      </c>
      <c r="B34" s="35" t="s">
        <v>351</v>
      </c>
      <c r="C34" s="34" t="s">
        <v>352</v>
      </c>
      <c r="D34" s="59" t="s">
        <v>49</v>
      </c>
      <c r="E34" s="59"/>
      <c r="F34" s="59" t="s">
        <v>1</v>
      </c>
      <c r="G34" s="59" t="s">
        <v>353</v>
      </c>
      <c r="H34" s="59">
        <v>2.11528020917E11</v>
      </c>
      <c r="I34" s="59">
        <v>6.378637562E9</v>
      </c>
      <c r="J34" s="55" t="s">
        <v>355</v>
      </c>
      <c r="K34" s="59"/>
      <c r="L34" s="59">
        <v>200000.0</v>
      </c>
      <c r="M34" s="59">
        <v>180000.0</v>
      </c>
      <c r="N34" s="59">
        <v>180000.0</v>
      </c>
      <c r="O34" s="15">
        <f t="shared" si="1"/>
        <v>0</v>
      </c>
      <c r="P34" s="15" t="s">
        <v>55</v>
      </c>
      <c r="Q34" s="15" t="s">
        <v>71</v>
      </c>
      <c r="R34" s="15" t="s">
        <v>58</v>
      </c>
      <c r="S34" s="34" t="s">
        <v>333</v>
      </c>
      <c r="T34" s="59" t="s">
        <v>63</v>
      </c>
      <c r="U34" s="60" t="s">
        <v>64</v>
      </c>
      <c r="Y34" s="59">
        <f t="shared" si="2"/>
        <v>180000</v>
      </c>
      <c r="Z34" s="59">
        <f t="shared" si="3"/>
        <v>0</v>
      </c>
      <c r="AA34" s="59">
        <f t="shared" si="4"/>
        <v>180000</v>
      </c>
      <c r="AB34" s="59">
        <f t="shared" si="5"/>
        <v>0</v>
      </c>
      <c r="AE34" s="84">
        <f t="shared" si="6"/>
        <v>0</v>
      </c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</row>
    <row r="35">
      <c r="A35" s="15">
        <v>31.0</v>
      </c>
      <c r="B35" s="15" t="s">
        <v>358</v>
      </c>
      <c r="C35" s="59" t="s">
        <v>359</v>
      </c>
      <c r="D35" s="59" t="s">
        <v>281</v>
      </c>
      <c r="E35" s="59"/>
      <c r="F35" s="59" t="s">
        <v>360</v>
      </c>
      <c r="G35" s="59" t="s">
        <v>50</v>
      </c>
      <c r="H35" s="59">
        <v>2.11543005526E11</v>
      </c>
      <c r="I35" s="59">
        <v>8.003657798E9</v>
      </c>
      <c r="J35" s="55"/>
      <c r="O35" s="15">
        <f t="shared" si="1"/>
        <v>0</v>
      </c>
      <c r="P35" s="15" t="s">
        <v>57</v>
      </c>
      <c r="Q35" s="15" t="s">
        <v>71</v>
      </c>
      <c r="R35" s="15" t="s">
        <v>60</v>
      </c>
      <c r="S35" s="34" t="s">
        <v>333</v>
      </c>
      <c r="T35" s="59" t="s">
        <v>63</v>
      </c>
      <c r="U35" s="60" t="s">
        <v>64</v>
      </c>
      <c r="Y35" s="59">
        <f t="shared" si="2"/>
        <v>0</v>
      </c>
      <c r="Z35" s="59">
        <f t="shared" si="3"/>
        <v>0</v>
      </c>
      <c r="AA35" s="59">
        <f t="shared" si="4"/>
        <v>0</v>
      </c>
      <c r="AB35" s="59">
        <f t="shared" si="5"/>
        <v>0</v>
      </c>
      <c r="AE35" s="84">
        <f t="shared" si="6"/>
        <v>0</v>
      </c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</row>
    <row r="36">
      <c r="A36" s="15">
        <v>32.0</v>
      </c>
      <c r="B36" s="85" t="s">
        <v>361</v>
      </c>
      <c r="C36" s="85" t="s">
        <v>362</v>
      </c>
      <c r="D36" s="85" t="s">
        <v>49</v>
      </c>
      <c r="E36" s="85"/>
      <c r="F36" s="85" t="s">
        <v>363</v>
      </c>
      <c r="G36" s="85" t="s">
        <v>364</v>
      </c>
      <c r="H36" s="85">
        <v>2.10513029024E11</v>
      </c>
      <c r="I36" s="59">
        <v>9.511582299E9</v>
      </c>
      <c r="J36" s="55" t="s">
        <v>365</v>
      </c>
      <c r="K36" s="59"/>
      <c r="L36" s="59">
        <v>180000.0</v>
      </c>
      <c r="M36" s="59"/>
      <c r="O36" s="15">
        <f t="shared" si="1"/>
        <v>0</v>
      </c>
      <c r="P36" s="35" t="s">
        <v>57</v>
      </c>
      <c r="Q36" s="35" t="s">
        <v>56</v>
      </c>
      <c r="R36" s="35" t="s">
        <v>60</v>
      </c>
      <c r="S36" s="34" t="s">
        <v>333</v>
      </c>
      <c r="T36" s="34" t="s">
        <v>63</v>
      </c>
      <c r="U36" s="60" t="s">
        <v>64</v>
      </c>
      <c r="V36" s="59"/>
      <c r="W36" s="59"/>
      <c r="X36" s="59"/>
      <c r="Y36" s="59">
        <f t="shared" si="2"/>
        <v>0</v>
      </c>
      <c r="Z36" s="59">
        <f t="shared" si="3"/>
        <v>0</v>
      </c>
      <c r="AA36" s="59">
        <f t="shared" si="4"/>
        <v>0</v>
      </c>
      <c r="AB36" s="59">
        <f t="shared" si="5"/>
        <v>0</v>
      </c>
      <c r="AC36" s="59">
        <v>100000.0</v>
      </c>
      <c r="AE36" s="84">
        <f t="shared" si="6"/>
        <v>100000</v>
      </c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</row>
    <row r="37">
      <c r="A37" s="15">
        <v>33.0</v>
      </c>
      <c r="B37" s="85" t="s">
        <v>366</v>
      </c>
      <c r="C37" s="85" t="s">
        <v>367</v>
      </c>
      <c r="D37" s="85" t="s">
        <v>153</v>
      </c>
      <c r="E37" s="85"/>
      <c r="F37" s="85" t="s">
        <v>368</v>
      </c>
      <c r="G37" s="85" t="s">
        <v>50</v>
      </c>
      <c r="H37" s="86"/>
      <c r="J37" s="56"/>
      <c r="K37" s="59"/>
      <c r="L37" s="59">
        <v>175000.0</v>
      </c>
      <c r="M37" s="59"/>
      <c r="O37" s="15">
        <f t="shared" si="1"/>
        <v>0</v>
      </c>
      <c r="P37" s="35" t="s">
        <v>57</v>
      </c>
      <c r="Q37" s="35" t="s">
        <v>56</v>
      </c>
      <c r="R37" s="35" t="s">
        <v>60</v>
      </c>
      <c r="S37" s="34" t="s">
        <v>333</v>
      </c>
      <c r="T37" s="34" t="s">
        <v>63</v>
      </c>
      <c r="U37" s="60" t="s">
        <v>64</v>
      </c>
      <c r="Y37" s="59">
        <f t="shared" si="2"/>
        <v>0</v>
      </c>
      <c r="Z37" s="59">
        <f t="shared" si="3"/>
        <v>0</v>
      </c>
      <c r="AA37" s="59">
        <f t="shared" si="4"/>
        <v>0</v>
      </c>
      <c r="AB37" s="59">
        <f t="shared" si="5"/>
        <v>0</v>
      </c>
      <c r="AE37" s="84">
        <f t="shared" si="6"/>
        <v>0</v>
      </c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</row>
    <row r="38">
      <c r="A38" s="15">
        <v>34.0</v>
      </c>
      <c r="B38" s="85" t="s">
        <v>366</v>
      </c>
      <c r="C38" s="85" t="s">
        <v>369</v>
      </c>
      <c r="D38" s="85" t="s">
        <v>53</v>
      </c>
      <c r="E38" s="85"/>
      <c r="F38" s="85" t="s">
        <v>50</v>
      </c>
      <c r="G38" s="85" t="s">
        <v>50</v>
      </c>
      <c r="H38" s="86"/>
      <c r="J38" s="56"/>
      <c r="K38" s="59"/>
      <c r="L38" s="59">
        <v>250000.0</v>
      </c>
      <c r="M38" s="59"/>
      <c r="O38" s="15">
        <f t="shared" si="1"/>
        <v>0</v>
      </c>
      <c r="P38" s="35" t="s">
        <v>57</v>
      </c>
      <c r="Q38" s="35" t="s">
        <v>56</v>
      </c>
      <c r="R38" s="35" t="s">
        <v>60</v>
      </c>
      <c r="S38" s="34" t="s">
        <v>333</v>
      </c>
      <c r="T38" s="34" t="s">
        <v>63</v>
      </c>
      <c r="U38" s="60" t="s">
        <v>64</v>
      </c>
      <c r="Y38" s="59">
        <f t="shared" si="2"/>
        <v>0</v>
      </c>
      <c r="Z38" s="59">
        <f t="shared" si="3"/>
        <v>0</v>
      </c>
      <c r="AA38" s="59">
        <f t="shared" si="4"/>
        <v>0</v>
      </c>
      <c r="AB38" s="59">
        <f t="shared" si="5"/>
        <v>0</v>
      </c>
      <c r="AE38" s="84">
        <f t="shared" si="6"/>
        <v>0</v>
      </c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</row>
    <row r="39">
      <c r="A39" s="15">
        <v>35.0</v>
      </c>
      <c r="B39" s="87" t="s">
        <v>370</v>
      </c>
      <c r="C39" s="85" t="s">
        <v>371</v>
      </c>
      <c r="D39" s="85" t="s">
        <v>126</v>
      </c>
      <c r="E39" s="85"/>
      <c r="F39" s="85" t="s">
        <v>67</v>
      </c>
      <c r="G39" s="85" t="s">
        <v>68</v>
      </c>
      <c r="H39" s="86"/>
      <c r="I39" s="29"/>
      <c r="J39" s="88"/>
      <c r="O39" s="15">
        <f t="shared" si="1"/>
        <v>0</v>
      </c>
      <c r="P39" s="15" t="s">
        <v>57</v>
      </c>
      <c r="Q39" s="15" t="s">
        <v>71</v>
      </c>
      <c r="R39" s="15" t="s">
        <v>60</v>
      </c>
      <c r="S39" s="34" t="s">
        <v>333</v>
      </c>
      <c r="T39" s="59" t="s">
        <v>63</v>
      </c>
      <c r="U39" s="60" t="s">
        <v>64</v>
      </c>
      <c r="Y39" s="59">
        <f t="shared" si="2"/>
        <v>0</v>
      </c>
      <c r="Z39" s="59">
        <f t="shared" si="3"/>
        <v>0</v>
      </c>
      <c r="AA39" s="59">
        <f t="shared" si="4"/>
        <v>0</v>
      </c>
      <c r="AB39" s="59">
        <f t="shared" si="5"/>
        <v>0</v>
      </c>
      <c r="AE39" s="84">
        <f t="shared" si="6"/>
        <v>0</v>
      </c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</row>
    <row r="40">
      <c r="A40" s="15">
        <v>36.0</v>
      </c>
      <c r="B40" s="59" t="s">
        <v>375</v>
      </c>
      <c r="C40" s="59" t="s">
        <v>376</v>
      </c>
      <c r="D40" s="59" t="s">
        <v>271</v>
      </c>
      <c r="E40" s="59"/>
      <c r="F40" s="59" t="s">
        <v>98</v>
      </c>
      <c r="G40" s="59" t="s">
        <v>54</v>
      </c>
      <c r="H40" s="59">
        <v>2.11529027319E11</v>
      </c>
      <c r="I40" s="59">
        <v>9.79998399E9</v>
      </c>
      <c r="J40" s="59" t="s">
        <v>378</v>
      </c>
      <c r="O40" s="15">
        <f t="shared" si="1"/>
        <v>0</v>
      </c>
      <c r="P40" s="15" t="s">
        <v>55</v>
      </c>
      <c r="Q40" s="15" t="s">
        <v>71</v>
      </c>
      <c r="R40" s="15" t="s">
        <v>60</v>
      </c>
      <c r="S40" s="34" t="s">
        <v>333</v>
      </c>
      <c r="T40" s="59" t="s">
        <v>63</v>
      </c>
      <c r="U40" s="60" t="s">
        <v>64</v>
      </c>
      <c r="Y40" s="59">
        <f t="shared" si="2"/>
        <v>0</v>
      </c>
      <c r="Z40" s="59">
        <f t="shared" si="3"/>
        <v>0</v>
      </c>
      <c r="AA40" s="59">
        <f t="shared" si="4"/>
        <v>0</v>
      </c>
      <c r="AB40" s="59">
        <f t="shared" si="5"/>
        <v>0</v>
      </c>
      <c r="AE40" s="84">
        <f t="shared" si="6"/>
        <v>0</v>
      </c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</row>
    <row r="41">
      <c r="A41" s="35"/>
      <c r="B41" s="29"/>
      <c r="C41" s="34"/>
      <c r="D41" s="29"/>
      <c r="E41" s="29"/>
      <c r="F41" s="29"/>
      <c r="G41" s="29"/>
      <c r="H41" s="29"/>
      <c r="I41" s="29"/>
      <c r="J41" s="89"/>
      <c r="K41" s="29"/>
      <c r="L41" s="29"/>
      <c r="M41" s="29"/>
      <c r="N41" s="29"/>
      <c r="O41" s="35"/>
      <c r="P41" s="35"/>
      <c r="Q41" s="35"/>
      <c r="R41" s="35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</row>
    <row r="42">
      <c r="A42" s="35"/>
      <c r="B42" s="29"/>
      <c r="C42" s="34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35"/>
      <c r="P42" s="35"/>
      <c r="Q42" s="35"/>
      <c r="R42" s="35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  <c r="BL42" s="29"/>
      <c r="BM42" s="29"/>
      <c r="BN42" s="29"/>
      <c r="BO42" s="29"/>
      <c r="BP42" s="29"/>
      <c r="BQ42" s="29"/>
      <c r="BR42" s="29"/>
      <c r="BS42" s="29"/>
      <c r="BT42" s="29"/>
      <c r="BU42" s="29"/>
    </row>
    <row r="43">
      <c r="A43" s="15"/>
      <c r="C43" s="59"/>
      <c r="J43" s="55"/>
      <c r="O43" s="15"/>
      <c r="P43" s="15"/>
      <c r="Q43" s="15"/>
      <c r="R43" s="15"/>
      <c r="S43" s="59"/>
      <c r="T43" s="59"/>
      <c r="U43" s="59"/>
    </row>
    <row r="44">
      <c r="A44" s="15"/>
      <c r="B44" s="15"/>
      <c r="C44" s="59"/>
      <c r="D44" s="59"/>
      <c r="E44" s="59"/>
      <c r="F44" s="59"/>
      <c r="G44" s="59"/>
      <c r="H44" s="59"/>
      <c r="I44" s="59"/>
      <c r="J44" s="55"/>
      <c r="K44" s="59"/>
      <c r="L44" s="59"/>
      <c r="M44" s="59"/>
      <c r="O44" s="15"/>
      <c r="P44" s="15"/>
      <c r="Q44" s="15"/>
      <c r="R44" s="15"/>
      <c r="S44" s="59"/>
      <c r="T44" s="59"/>
      <c r="U44" s="59"/>
      <c r="Y44" s="59"/>
      <c r="Z44" s="59"/>
      <c r="AA44" s="59"/>
      <c r="AB44" s="59"/>
    </row>
    <row r="45">
      <c r="A45" s="15"/>
      <c r="J45" s="56"/>
      <c r="O45" s="15"/>
      <c r="P45" s="15"/>
      <c r="Q45" s="15"/>
      <c r="R45" s="15"/>
    </row>
    <row r="46">
      <c r="A46" s="35"/>
      <c r="B46" s="35"/>
      <c r="C46" s="34"/>
      <c r="D46" s="34"/>
      <c r="E46" s="34"/>
      <c r="F46" s="34"/>
      <c r="G46" s="34"/>
      <c r="H46" s="34"/>
      <c r="I46" s="34"/>
      <c r="J46" s="89"/>
      <c r="K46" s="34"/>
      <c r="L46" s="34"/>
      <c r="M46" s="34"/>
      <c r="N46" s="34"/>
      <c r="O46" s="35"/>
      <c r="P46" s="35"/>
      <c r="Q46" s="35"/>
      <c r="R46" s="35"/>
      <c r="S46" s="34"/>
      <c r="T46" s="34"/>
      <c r="U46" s="34"/>
      <c r="V46" s="34"/>
      <c r="W46" s="29"/>
      <c r="X46" s="29"/>
      <c r="Y46" s="34"/>
      <c r="Z46" s="34"/>
      <c r="AA46" s="34"/>
      <c r="AB46" s="34"/>
      <c r="AC46" s="29"/>
      <c r="AD46" s="34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  <c r="BL46" s="29"/>
      <c r="BM46" s="29"/>
      <c r="BN46" s="29"/>
      <c r="BO46" s="29"/>
      <c r="BP46" s="29"/>
      <c r="BQ46" s="29"/>
      <c r="BR46" s="29"/>
      <c r="BS46" s="29"/>
      <c r="BT46" s="29"/>
      <c r="BU46" s="29"/>
    </row>
    <row r="47">
      <c r="A47" s="35"/>
      <c r="B47" s="35"/>
      <c r="C47" s="34"/>
      <c r="D47" s="29"/>
      <c r="E47" s="29"/>
      <c r="F47" s="29"/>
      <c r="G47" s="29"/>
      <c r="H47" s="29"/>
      <c r="I47" s="29"/>
      <c r="J47" s="89"/>
      <c r="K47" s="29"/>
      <c r="L47" s="29"/>
      <c r="M47" s="29"/>
      <c r="N47" s="29"/>
      <c r="O47" s="29"/>
      <c r="P47" s="35"/>
      <c r="Q47" s="35"/>
      <c r="R47" s="35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  <c r="BL47" s="29"/>
      <c r="BM47" s="29"/>
      <c r="BN47" s="29"/>
      <c r="BO47" s="29"/>
      <c r="BP47" s="29"/>
      <c r="BQ47" s="29"/>
      <c r="BR47" s="29"/>
      <c r="BS47" s="29"/>
      <c r="BT47" s="29"/>
      <c r="BU47" s="29"/>
    </row>
    <row r="48">
      <c r="A48" s="35"/>
      <c r="B48" s="34"/>
      <c r="C48" s="34"/>
      <c r="D48" s="34"/>
      <c r="E48" s="34"/>
      <c r="F48" s="34"/>
      <c r="G48" s="34"/>
      <c r="H48" s="34"/>
      <c r="I48" s="34"/>
      <c r="J48" s="89"/>
      <c r="K48" s="34"/>
      <c r="L48" s="34"/>
      <c r="M48" s="34"/>
      <c r="N48" s="34"/>
      <c r="O48" s="35"/>
      <c r="P48" s="35"/>
      <c r="Q48" s="35"/>
      <c r="R48" s="35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</row>
    <row r="49">
      <c r="A49" s="35"/>
      <c r="B49" s="34"/>
      <c r="C49" s="34"/>
      <c r="D49" s="34"/>
      <c r="E49" s="34"/>
      <c r="F49" s="34"/>
      <c r="G49" s="34"/>
      <c r="H49" s="34"/>
      <c r="I49" s="34"/>
      <c r="J49" s="89"/>
      <c r="K49" s="34"/>
      <c r="L49" s="34"/>
      <c r="M49" s="34"/>
      <c r="N49" s="34"/>
      <c r="O49" s="35"/>
      <c r="P49" s="35"/>
      <c r="Q49" s="35"/>
      <c r="R49" s="35"/>
      <c r="S49" s="34"/>
      <c r="T49" s="34"/>
      <c r="U49" s="34"/>
      <c r="V49" s="34"/>
      <c r="W49" s="34"/>
      <c r="X49" s="29"/>
      <c r="Y49" s="34"/>
      <c r="Z49" s="34"/>
      <c r="AA49" s="34"/>
      <c r="AB49" s="34"/>
      <c r="AC49" s="29"/>
      <c r="AD49" s="34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</row>
    <row r="50">
      <c r="A50" s="15"/>
      <c r="H50" s="51"/>
      <c r="I50" s="51"/>
      <c r="J50" s="15"/>
      <c r="P50" s="15"/>
      <c r="Q50" s="15"/>
      <c r="R50" s="15"/>
    </row>
    <row r="51">
      <c r="J51" s="56"/>
      <c r="P51" s="15"/>
      <c r="Q51" s="15"/>
      <c r="R51" s="15"/>
    </row>
    <row r="52">
      <c r="A52" s="15"/>
      <c r="H52" s="51"/>
      <c r="I52" s="51"/>
      <c r="J52" s="15"/>
      <c r="P52" s="15"/>
      <c r="Q52" s="15"/>
      <c r="R52" s="15"/>
    </row>
    <row r="53">
      <c r="A53" s="15"/>
      <c r="J53" s="55"/>
      <c r="P53" s="15"/>
      <c r="Q53" s="15"/>
      <c r="R53" s="15"/>
    </row>
    <row r="54">
      <c r="A54" s="15"/>
      <c r="H54" s="51"/>
      <c r="I54" s="15"/>
      <c r="J54" s="15"/>
      <c r="P54" s="15"/>
      <c r="Q54" s="15"/>
      <c r="R54" s="15"/>
    </row>
    <row r="55">
      <c r="A55" s="15"/>
      <c r="B55" s="35"/>
      <c r="J55" s="55"/>
      <c r="P55" s="15"/>
      <c r="Q55" s="15"/>
      <c r="R55" s="15"/>
    </row>
    <row r="56">
      <c r="A56" s="15"/>
      <c r="J56" s="15"/>
      <c r="P56" s="15"/>
      <c r="Q56" s="15"/>
      <c r="R56" s="15"/>
    </row>
    <row r="57">
      <c r="A57" s="15"/>
      <c r="B57" s="92"/>
      <c r="C57" s="93"/>
      <c r="J57" s="55"/>
      <c r="P57" s="35"/>
      <c r="Q57" s="35"/>
      <c r="R57" s="35"/>
      <c r="S57" s="34"/>
      <c r="T57" s="34"/>
      <c r="U57" s="34"/>
    </row>
    <row r="58">
      <c r="A58" s="15"/>
      <c r="H58" s="51"/>
      <c r="I58" s="51"/>
      <c r="J58" s="15"/>
      <c r="P58" s="15"/>
      <c r="Q58" s="15"/>
      <c r="R58" s="15"/>
    </row>
    <row r="59">
      <c r="I59" s="51"/>
      <c r="J59" s="15"/>
      <c r="P59" s="15"/>
      <c r="Q59" s="15"/>
      <c r="R59" s="15"/>
    </row>
    <row r="60">
      <c r="J60" s="56"/>
      <c r="P60" s="15"/>
      <c r="Q60" s="15"/>
      <c r="R60" s="15"/>
    </row>
    <row r="61">
      <c r="H61" s="51"/>
      <c r="I61" s="51"/>
      <c r="J61" s="15"/>
      <c r="P61" s="15"/>
      <c r="Q61" s="15"/>
      <c r="R61" s="15"/>
    </row>
    <row r="62">
      <c r="J62" s="56"/>
      <c r="P62" s="15"/>
      <c r="Q62" s="15"/>
      <c r="R62" s="15"/>
    </row>
    <row r="63">
      <c r="J63" s="56"/>
    </row>
    <row r="64">
      <c r="J64" s="56"/>
    </row>
    <row r="65">
      <c r="J65" s="56"/>
    </row>
    <row r="66">
      <c r="J66" s="56"/>
    </row>
    <row r="67">
      <c r="J67" s="56"/>
    </row>
    <row r="68">
      <c r="J68" s="56"/>
    </row>
    <row r="69">
      <c r="J69" s="56"/>
    </row>
    <row r="70">
      <c r="J70" s="56"/>
    </row>
    <row r="71">
      <c r="J71" s="56"/>
    </row>
    <row r="72">
      <c r="J72" s="56"/>
    </row>
    <row r="73">
      <c r="J73" s="56"/>
    </row>
    <row r="74">
      <c r="J74" s="56"/>
    </row>
    <row r="75">
      <c r="J75" s="56"/>
    </row>
    <row r="76">
      <c r="J76" s="56"/>
    </row>
    <row r="77">
      <c r="J77" s="56"/>
    </row>
    <row r="78">
      <c r="J78" s="56"/>
    </row>
    <row r="79">
      <c r="J79" s="56"/>
    </row>
    <row r="80">
      <c r="J80" s="56"/>
    </row>
    <row r="81">
      <c r="J81" s="56"/>
    </row>
    <row r="82">
      <c r="J82" s="56"/>
    </row>
    <row r="83">
      <c r="J83" s="56"/>
    </row>
    <row r="84">
      <c r="J84" s="56"/>
    </row>
    <row r="85">
      <c r="J85" s="56"/>
    </row>
    <row r="86">
      <c r="J86" s="56"/>
    </row>
    <row r="87">
      <c r="J87" s="56"/>
    </row>
    <row r="88">
      <c r="J88" s="56"/>
    </row>
    <row r="89">
      <c r="J89" s="56"/>
    </row>
    <row r="90">
      <c r="J90" s="56"/>
    </row>
    <row r="91">
      <c r="J91" s="56"/>
    </row>
    <row r="92">
      <c r="J92" s="56"/>
    </row>
    <row r="93">
      <c r="J93" s="56"/>
    </row>
    <row r="94">
      <c r="J94" s="56"/>
    </row>
    <row r="95">
      <c r="J95" s="56"/>
    </row>
    <row r="96">
      <c r="J96" s="56"/>
    </row>
    <row r="97">
      <c r="J97" s="56"/>
    </row>
    <row r="98">
      <c r="J98" s="56"/>
    </row>
    <row r="99">
      <c r="J99" s="56"/>
    </row>
    <row r="100">
      <c r="J100" s="56"/>
    </row>
    <row r="101">
      <c r="J101" s="56"/>
    </row>
    <row r="102">
      <c r="J102" s="56"/>
    </row>
    <row r="103">
      <c r="J103" s="56"/>
    </row>
    <row r="104">
      <c r="J104" s="56"/>
    </row>
    <row r="105">
      <c r="J105" s="56"/>
    </row>
    <row r="106">
      <c r="J106" s="56"/>
    </row>
    <row r="107">
      <c r="J107" s="56"/>
    </row>
    <row r="108">
      <c r="J108" s="56"/>
    </row>
    <row r="109">
      <c r="J109" s="56"/>
    </row>
    <row r="110">
      <c r="J110" s="56"/>
    </row>
    <row r="111">
      <c r="J111" s="56"/>
    </row>
    <row r="112">
      <c r="J112" s="56"/>
    </row>
    <row r="113">
      <c r="J113" s="56"/>
    </row>
    <row r="114">
      <c r="J114" s="56"/>
    </row>
    <row r="115">
      <c r="J115" s="56"/>
    </row>
    <row r="116">
      <c r="J116" s="56"/>
    </row>
    <row r="117">
      <c r="J117" s="56"/>
    </row>
    <row r="118">
      <c r="J118" s="56"/>
    </row>
    <row r="119">
      <c r="J119" s="56"/>
    </row>
    <row r="120">
      <c r="J120" s="56"/>
    </row>
    <row r="121">
      <c r="J121" s="56"/>
    </row>
    <row r="122">
      <c r="J122" s="56"/>
    </row>
    <row r="123">
      <c r="J123" s="56"/>
    </row>
    <row r="124">
      <c r="J124" s="56"/>
    </row>
    <row r="125">
      <c r="J125" s="56"/>
    </row>
    <row r="126">
      <c r="J126" s="56"/>
    </row>
    <row r="127">
      <c r="J127" s="56"/>
    </row>
    <row r="128">
      <c r="J128" s="56"/>
    </row>
    <row r="129">
      <c r="J129" s="56"/>
    </row>
    <row r="130">
      <c r="J130" s="56"/>
    </row>
    <row r="131">
      <c r="J131" s="56"/>
    </row>
    <row r="132">
      <c r="J132" s="56"/>
    </row>
    <row r="133">
      <c r="J133" s="56"/>
    </row>
    <row r="134">
      <c r="J134" s="56"/>
    </row>
    <row r="135">
      <c r="J135" s="56"/>
    </row>
    <row r="136">
      <c r="J136" s="56"/>
    </row>
    <row r="137">
      <c r="J137" s="56"/>
    </row>
    <row r="138">
      <c r="J138" s="56"/>
    </row>
    <row r="139">
      <c r="J139" s="56"/>
    </row>
    <row r="140">
      <c r="J140" s="56"/>
    </row>
    <row r="141">
      <c r="J141" s="56"/>
    </row>
    <row r="142">
      <c r="J142" s="56"/>
    </row>
    <row r="143">
      <c r="J143" s="56"/>
    </row>
    <row r="144">
      <c r="J144" s="56"/>
    </row>
    <row r="145">
      <c r="J145" s="56"/>
    </row>
    <row r="146">
      <c r="J146" s="56"/>
    </row>
    <row r="147">
      <c r="J147" s="56"/>
    </row>
    <row r="148">
      <c r="J148" s="56"/>
    </row>
    <row r="149">
      <c r="J149" s="56"/>
    </row>
    <row r="150">
      <c r="J150" s="56"/>
    </row>
    <row r="151">
      <c r="J151" s="56"/>
    </row>
    <row r="152">
      <c r="J152" s="56"/>
    </row>
    <row r="153">
      <c r="J153" s="56"/>
    </row>
    <row r="154">
      <c r="J154" s="56"/>
    </row>
    <row r="155">
      <c r="J155" s="56"/>
    </row>
    <row r="156">
      <c r="J156" s="56"/>
    </row>
    <row r="157">
      <c r="J157" s="56"/>
    </row>
    <row r="158">
      <c r="J158" s="56"/>
    </row>
    <row r="159">
      <c r="J159" s="56"/>
    </row>
    <row r="160">
      <c r="J160" s="56"/>
    </row>
    <row r="161">
      <c r="J161" s="56"/>
    </row>
    <row r="162">
      <c r="J162" s="56"/>
    </row>
    <row r="163">
      <c r="J163" s="56"/>
    </row>
    <row r="164">
      <c r="J164" s="56"/>
    </row>
    <row r="165">
      <c r="J165" s="56"/>
    </row>
    <row r="166">
      <c r="J166" s="56"/>
    </row>
    <row r="167">
      <c r="J167" s="56"/>
    </row>
    <row r="168">
      <c r="J168" s="56"/>
    </row>
    <row r="169">
      <c r="J169" s="56"/>
    </row>
    <row r="170">
      <c r="J170" s="56"/>
    </row>
    <row r="171">
      <c r="J171" s="56"/>
    </row>
    <row r="172">
      <c r="J172" s="56"/>
    </row>
    <row r="173">
      <c r="J173" s="56"/>
    </row>
    <row r="174">
      <c r="J174" s="56"/>
    </row>
    <row r="175">
      <c r="J175" s="56"/>
    </row>
    <row r="176">
      <c r="J176" s="56"/>
    </row>
    <row r="177">
      <c r="J177" s="56"/>
    </row>
    <row r="178">
      <c r="J178" s="56"/>
    </row>
    <row r="179">
      <c r="J179" s="56"/>
    </row>
    <row r="180">
      <c r="J180" s="56"/>
    </row>
    <row r="181">
      <c r="J181" s="56"/>
    </row>
    <row r="182">
      <c r="J182" s="56"/>
    </row>
    <row r="183">
      <c r="J183" s="56"/>
    </row>
    <row r="184">
      <c r="J184" s="56"/>
    </row>
    <row r="185">
      <c r="J185" s="56"/>
    </row>
    <row r="186">
      <c r="J186" s="56"/>
    </row>
    <row r="187">
      <c r="J187" s="56"/>
    </row>
    <row r="188">
      <c r="J188" s="56"/>
    </row>
    <row r="189">
      <c r="J189" s="56"/>
    </row>
    <row r="190">
      <c r="J190" s="56"/>
    </row>
    <row r="191">
      <c r="J191" s="56"/>
    </row>
    <row r="192">
      <c r="J192" s="56"/>
    </row>
    <row r="193">
      <c r="J193" s="56"/>
    </row>
    <row r="194">
      <c r="J194" s="56"/>
    </row>
    <row r="195">
      <c r="J195" s="56"/>
    </row>
    <row r="196">
      <c r="J196" s="56"/>
    </row>
    <row r="197">
      <c r="J197" s="56"/>
    </row>
    <row r="198">
      <c r="J198" s="56"/>
    </row>
    <row r="199">
      <c r="J199" s="56"/>
    </row>
    <row r="200">
      <c r="J200" s="56"/>
    </row>
    <row r="201">
      <c r="J201" s="56"/>
    </row>
    <row r="202">
      <c r="J202" s="56"/>
    </row>
    <row r="203">
      <c r="J203" s="56"/>
    </row>
    <row r="204">
      <c r="J204" s="56"/>
    </row>
    <row r="205">
      <c r="J205" s="56"/>
    </row>
    <row r="206">
      <c r="J206" s="56"/>
    </row>
    <row r="207">
      <c r="J207" s="56"/>
    </row>
    <row r="208">
      <c r="J208" s="56"/>
    </row>
    <row r="209">
      <c r="J209" s="56"/>
    </row>
    <row r="210">
      <c r="J210" s="56"/>
    </row>
    <row r="211">
      <c r="J211" s="56"/>
    </row>
    <row r="212">
      <c r="J212" s="56"/>
    </row>
    <row r="213">
      <c r="J213" s="56"/>
    </row>
    <row r="214">
      <c r="J214" s="56"/>
    </row>
    <row r="215">
      <c r="J215" s="56"/>
    </row>
    <row r="216">
      <c r="J216" s="56"/>
    </row>
    <row r="217">
      <c r="J217" s="56"/>
    </row>
    <row r="218">
      <c r="J218" s="56"/>
    </row>
    <row r="219">
      <c r="J219" s="56"/>
    </row>
    <row r="220">
      <c r="J220" s="56"/>
    </row>
    <row r="221">
      <c r="J221" s="56"/>
    </row>
    <row r="222">
      <c r="J222" s="56"/>
    </row>
    <row r="223">
      <c r="J223" s="56"/>
    </row>
    <row r="224">
      <c r="J224" s="56"/>
    </row>
    <row r="225">
      <c r="J225" s="56"/>
    </row>
    <row r="226">
      <c r="J226" s="56"/>
    </row>
    <row r="227">
      <c r="J227" s="56"/>
    </row>
    <row r="228">
      <c r="J228" s="56"/>
    </row>
    <row r="229">
      <c r="J229" s="56"/>
    </row>
    <row r="230">
      <c r="J230" s="56"/>
    </row>
    <row r="231">
      <c r="J231" s="56"/>
    </row>
    <row r="232">
      <c r="J232" s="56"/>
    </row>
    <row r="233">
      <c r="J233" s="56"/>
    </row>
    <row r="234">
      <c r="J234" s="56"/>
    </row>
    <row r="235">
      <c r="J235" s="56"/>
    </row>
    <row r="236">
      <c r="J236" s="56"/>
    </row>
    <row r="237">
      <c r="J237" s="56"/>
    </row>
    <row r="238">
      <c r="J238" s="56"/>
    </row>
    <row r="239">
      <c r="J239" s="56"/>
    </row>
    <row r="240">
      <c r="J240" s="56"/>
    </row>
    <row r="241">
      <c r="J241" s="56"/>
    </row>
    <row r="242">
      <c r="J242" s="56"/>
    </row>
    <row r="243">
      <c r="J243" s="56"/>
    </row>
    <row r="244">
      <c r="J244" s="56"/>
    </row>
    <row r="245">
      <c r="J245" s="56"/>
    </row>
    <row r="246">
      <c r="J246" s="56"/>
    </row>
    <row r="247">
      <c r="J247" s="56"/>
    </row>
    <row r="248">
      <c r="J248" s="56"/>
    </row>
    <row r="249">
      <c r="J249" s="56"/>
    </row>
    <row r="250">
      <c r="J250" s="56"/>
    </row>
    <row r="251">
      <c r="J251" s="56"/>
    </row>
    <row r="252">
      <c r="J252" s="56"/>
    </row>
    <row r="253">
      <c r="J253" s="56"/>
    </row>
    <row r="254">
      <c r="J254" s="56"/>
    </row>
    <row r="255">
      <c r="J255" s="56"/>
    </row>
    <row r="256">
      <c r="J256" s="56"/>
    </row>
    <row r="257">
      <c r="J257" s="56"/>
    </row>
    <row r="258">
      <c r="J258" s="56"/>
    </row>
    <row r="259">
      <c r="J259" s="56"/>
    </row>
    <row r="260">
      <c r="J260" s="56"/>
    </row>
    <row r="261">
      <c r="J261" s="56"/>
    </row>
    <row r="262">
      <c r="J262" s="56"/>
    </row>
    <row r="263">
      <c r="J263" s="56"/>
    </row>
    <row r="264">
      <c r="J264" s="56"/>
    </row>
    <row r="265">
      <c r="J265" s="56"/>
    </row>
    <row r="266">
      <c r="J266" s="56"/>
    </row>
    <row r="267">
      <c r="J267" s="56"/>
    </row>
    <row r="268">
      <c r="J268" s="56"/>
    </row>
    <row r="269">
      <c r="J269" s="56"/>
    </row>
    <row r="270">
      <c r="J270" s="56"/>
    </row>
    <row r="271">
      <c r="J271" s="56"/>
    </row>
    <row r="272">
      <c r="J272" s="56"/>
    </row>
    <row r="273">
      <c r="J273" s="56"/>
    </row>
    <row r="274">
      <c r="J274" s="56"/>
    </row>
    <row r="275">
      <c r="J275" s="56"/>
    </row>
    <row r="276">
      <c r="J276" s="56"/>
    </row>
    <row r="277">
      <c r="J277" s="56"/>
    </row>
    <row r="278">
      <c r="J278" s="56"/>
    </row>
    <row r="279">
      <c r="J279" s="56"/>
    </row>
    <row r="280">
      <c r="J280" s="56"/>
    </row>
    <row r="281">
      <c r="J281" s="56"/>
    </row>
    <row r="282">
      <c r="J282" s="56"/>
    </row>
    <row r="283">
      <c r="J283" s="56"/>
    </row>
    <row r="284">
      <c r="J284" s="56"/>
    </row>
    <row r="285">
      <c r="J285" s="56"/>
    </row>
    <row r="286">
      <c r="J286" s="56"/>
    </row>
    <row r="287">
      <c r="J287" s="56"/>
    </row>
    <row r="288">
      <c r="J288" s="56"/>
    </row>
    <row r="289">
      <c r="J289" s="56"/>
    </row>
    <row r="290">
      <c r="J290" s="56"/>
    </row>
    <row r="291">
      <c r="J291" s="56"/>
    </row>
    <row r="292">
      <c r="J292" s="56"/>
    </row>
    <row r="293">
      <c r="J293" s="56"/>
    </row>
    <row r="294">
      <c r="J294" s="56"/>
    </row>
    <row r="295">
      <c r="J295" s="56"/>
    </row>
    <row r="296">
      <c r="J296" s="56"/>
    </row>
    <row r="297">
      <c r="J297" s="56"/>
    </row>
    <row r="298">
      <c r="J298" s="56"/>
    </row>
    <row r="299">
      <c r="J299" s="56"/>
    </row>
    <row r="300">
      <c r="J300" s="56"/>
    </row>
    <row r="301">
      <c r="J301" s="56"/>
    </row>
    <row r="302">
      <c r="J302" s="56"/>
    </row>
    <row r="303">
      <c r="J303" s="56"/>
    </row>
    <row r="304">
      <c r="J304" s="56"/>
    </row>
    <row r="305">
      <c r="J305" s="56"/>
    </row>
    <row r="306">
      <c r="J306" s="56"/>
    </row>
    <row r="307">
      <c r="J307" s="56"/>
    </row>
    <row r="308">
      <c r="J308" s="56"/>
    </row>
    <row r="309">
      <c r="J309" s="56"/>
    </row>
    <row r="310">
      <c r="J310" s="56"/>
    </row>
    <row r="311">
      <c r="J311" s="56"/>
    </row>
    <row r="312">
      <c r="J312" s="56"/>
    </row>
    <row r="313">
      <c r="J313" s="56"/>
    </row>
    <row r="314">
      <c r="J314" s="56"/>
    </row>
    <row r="315">
      <c r="J315" s="56"/>
    </row>
    <row r="316">
      <c r="J316" s="56"/>
    </row>
    <row r="317">
      <c r="J317" s="56"/>
    </row>
    <row r="318">
      <c r="J318" s="56"/>
    </row>
    <row r="319">
      <c r="J319" s="56"/>
    </row>
    <row r="320">
      <c r="J320" s="56"/>
    </row>
    <row r="321">
      <c r="J321" s="56"/>
    </row>
    <row r="322">
      <c r="J322" s="56"/>
    </row>
    <row r="323">
      <c r="J323" s="56"/>
    </row>
    <row r="324">
      <c r="J324" s="56"/>
    </row>
    <row r="325">
      <c r="J325" s="56"/>
    </row>
    <row r="326">
      <c r="J326" s="56"/>
    </row>
    <row r="327">
      <c r="J327" s="56"/>
    </row>
    <row r="328">
      <c r="J328" s="56"/>
    </row>
    <row r="329">
      <c r="J329" s="56"/>
    </row>
    <row r="330">
      <c r="J330" s="56"/>
    </row>
    <row r="331">
      <c r="J331" s="56"/>
    </row>
    <row r="332">
      <c r="J332" s="56"/>
    </row>
    <row r="333">
      <c r="J333" s="56"/>
    </row>
    <row r="334">
      <c r="J334" s="56"/>
    </row>
    <row r="335">
      <c r="J335" s="56"/>
    </row>
    <row r="336">
      <c r="J336" s="56"/>
    </row>
    <row r="337">
      <c r="J337" s="56"/>
    </row>
    <row r="338">
      <c r="J338" s="56"/>
    </row>
    <row r="339">
      <c r="J339" s="56"/>
    </row>
    <row r="340">
      <c r="J340" s="56"/>
    </row>
    <row r="341">
      <c r="J341" s="56"/>
    </row>
    <row r="342">
      <c r="J342" s="56"/>
    </row>
    <row r="343">
      <c r="J343" s="56"/>
    </row>
    <row r="344">
      <c r="J344" s="56"/>
    </row>
    <row r="345">
      <c r="J345" s="56"/>
    </row>
    <row r="346">
      <c r="J346" s="56"/>
    </row>
    <row r="347">
      <c r="J347" s="56"/>
    </row>
    <row r="348">
      <c r="J348" s="56"/>
    </row>
    <row r="349">
      <c r="J349" s="56"/>
    </row>
    <row r="350">
      <c r="J350" s="56"/>
    </row>
    <row r="351">
      <c r="J351" s="56"/>
    </row>
    <row r="352">
      <c r="J352" s="56"/>
    </row>
    <row r="353">
      <c r="J353" s="56"/>
    </row>
    <row r="354">
      <c r="J354" s="56"/>
    </row>
    <row r="355">
      <c r="J355" s="56"/>
    </row>
    <row r="356">
      <c r="J356" s="56"/>
    </row>
    <row r="357">
      <c r="J357" s="56"/>
    </row>
    <row r="358">
      <c r="J358" s="56"/>
    </row>
    <row r="359">
      <c r="J359" s="56"/>
    </row>
    <row r="360">
      <c r="J360" s="56"/>
    </row>
    <row r="361">
      <c r="J361" s="56"/>
    </row>
    <row r="362">
      <c r="J362" s="56"/>
    </row>
    <row r="363">
      <c r="J363" s="56"/>
    </row>
    <row r="364">
      <c r="J364" s="56"/>
    </row>
    <row r="365">
      <c r="J365" s="56"/>
    </row>
    <row r="366">
      <c r="J366" s="56"/>
    </row>
    <row r="367">
      <c r="J367" s="56"/>
    </row>
    <row r="368">
      <c r="J368" s="56"/>
    </row>
    <row r="369">
      <c r="J369" s="56"/>
    </row>
    <row r="370">
      <c r="J370" s="56"/>
    </row>
    <row r="371">
      <c r="J371" s="56"/>
    </row>
    <row r="372">
      <c r="J372" s="56"/>
    </row>
    <row r="373">
      <c r="J373" s="56"/>
    </row>
    <row r="374">
      <c r="J374" s="56"/>
    </row>
    <row r="375">
      <c r="J375" s="56"/>
    </row>
    <row r="376">
      <c r="J376" s="56"/>
    </row>
    <row r="377">
      <c r="J377" s="56"/>
    </row>
    <row r="378">
      <c r="J378" s="56"/>
    </row>
    <row r="379">
      <c r="J379" s="56"/>
    </row>
    <row r="380">
      <c r="J380" s="56"/>
    </row>
    <row r="381">
      <c r="J381" s="56"/>
    </row>
    <row r="382">
      <c r="J382" s="56"/>
    </row>
    <row r="383">
      <c r="J383" s="56"/>
    </row>
    <row r="384">
      <c r="J384" s="56"/>
    </row>
    <row r="385">
      <c r="J385" s="56"/>
    </row>
    <row r="386">
      <c r="J386" s="56"/>
    </row>
    <row r="387">
      <c r="J387" s="56"/>
    </row>
    <row r="388">
      <c r="J388" s="56"/>
    </row>
    <row r="389">
      <c r="J389" s="56"/>
    </row>
    <row r="390">
      <c r="J390" s="56"/>
    </row>
    <row r="391">
      <c r="J391" s="56"/>
    </row>
    <row r="392">
      <c r="J392" s="56"/>
    </row>
    <row r="393">
      <c r="J393" s="56"/>
    </row>
    <row r="394">
      <c r="J394" s="56"/>
    </row>
    <row r="395">
      <c r="J395" s="56"/>
    </row>
    <row r="396">
      <c r="J396" s="56"/>
    </row>
    <row r="397">
      <c r="J397" s="56"/>
    </row>
    <row r="398">
      <c r="J398" s="56"/>
    </row>
    <row r="399">
      <c r="J399" s="56"/>
    </row>
    <row r="400">
      <c r="J400" s="56"/>
    </row>
    <row r="401">
      <c r="J401" s="56"/>
    </row>
    <row r="402">
      <c r="J402" s="56"/>
    </row>
    <row r="403">
      <c r="J403" s="56"/>
    </row>
    <row r="404">
      <c r="J404" s="56"/>
    </row>
    <row r="405">
      <c r="J405" s="56"/>
    </row>
    <row r="406">
      <c r="J406" s="56"/>
    </row>
    <row r="407">
      <c r="J407" s="56"/>
    </row>
    <row r="408">
      <c r="J408" s="56"/>
    </row>
    <row r="409">
      <c r="J409" s="56"/>
    </row>
    <row r="410">
      <c r="J410" s="56"/>
    </row>
    <row r="411">
      <c r="J411" s="56"/>
    </row>
    <row r="412">
      <c r="J412" s="56"/>
    </row>
    <row r="413">
      <c r="J413" s="56"/>
    </row>
    <row r="414">
      <c r="J414" s="56"/>
    </row>
    <row r="415">
      <c r="J415" s="56"/>
    </row>
    <row r="416">
      <c r="J416" s="56"/>
    </row>
    <row r="417">
      <c r="J417" s="56"/>
    </row>
    <row r="418">
      <c r="J418" s="56"/>
    </row>
    <row r="419">
      <c r="J419" s="56"/>
    </row>
    <row r="420">
      <c r="J420" s="56"/>
    </row>
    <row r="421">
      <c r="J421" s="56"/>
    </row>
    <row r="422">
      <c r="J422" s="56"/>
    </row>
    <row r="423">
      <c r="J423" s="56"/>
    </row>
    <row r="424">
      <c r="J424" s="56"/>
    </row>
    <row r="425">
      <c r="J425" s="56"/>
    </row>
    <row r="426">
      <c r="J426" s="56"/>
    </row>
    <row r="427">
      <c r="J427" s="56"/>
    </row>
    <row r="428">
      <c r="J428" s="56"/>
    </row>
    <row r="429">
      <c r="J429" s="56"/>
    </row>
    <row r="430">
      <c r="J430" s="56"/>
    </row>
    <row r="431">
      <c r="J431" s="56"/>
    </row>
    <row r="432">
      <c r="J432" s="56"/>
    </row>
    <row r="433">
      <c r="J433" s="56"/>
    </row>
    <row r="434">
      <c r="J434" s="56"/>
    </row>
    <row r="435">
      <c r="J435" s="56"/>
    </row>
    <row r="436">
      <c r="J436" s="56"/>
    </row>
    <row r="437">
      <c r="J437" s="56"/>
    </row>
    <row r="438">
      <c r="J438" s="56"/>
    </row>
    <row r="439">
      <c r="J439" s="56"/>
    </row>
    <row r="440">
      <c r="J440" s="56"/>
    </row>
    <row r="441">
      <c r="J441" s="56"/>
    </row>
    <row r="442">
      <c r="J442" s="56"/>
    </row>
    <row r="443">
      <c r="J443" s="56"/>
    </row>
    <row r="444">
      <c r="J444" s="56"/>
    </row>
    <row r="445">
      <c r="J445" s="56"/>
    </row>
    <row r="446">
      <c r="J446" s="56"/>
    </row>
    <row r="447">
      <c r="J447" s="56"/>
    </row>
    <row r="448">
      <c r="J448" s="56"/>
    </row>
    <row r="449">
      <c r="J449" s="56"/>
    </row>
    <row r="450">
      <c r="J450" s="56"/>
    </row>
    <row r="451">
      <c r="J451" s="56"/>
    </row>
    <row r="452">
      <c r="J452" s="56"/>
    </row>
    <row r="453">
      <c r="J453" s="56"/>
    </row>
    <row r="454">
      <c r="J454" s="56"/>
    </row>
    <row r="455">
      <c r="J455" s="56"/>
    </row>
    <row r="456">
      <c r="J456" s="56"/>
    </row>
    <row r="457">
      <c r="J457" s="56"/>
    </row>
    <row r="458">
      <c r="J458" s="56"/>
    </row>
    <row r="459">
      <c r="J459" s="56"/>
    </row>
    <row r="460">
      <c r="J460" s="56"/>
    </row>
    <row r="461">
      <c r="J461" s="56"/>
    </row>
    <row r="462">
      <c r="J462" s="56"/>
    </row>
    <row r="463">
      <c r="J463" s="56"/>
    </row>
    <row r="464">
      <c r="J464" s="56"/>
    </row>
    <row r="465">
      <c r="J465" s="56"/>
    </row>
    <row r="466">
      <c r="J466" s="56"/>
    </row>
    <row r="467">
      <c r="J467" s="56"/>
    </row>
    <row r="468">
      <c r="J468" s="56"/>
    </row>
    <row r="469">
      <c r="J469" s="56"/>
    </row>
    <row r="470">
      <c r="J470" s="56"/>
    </row>
    <row r="471">
      <c r="J471" s="56"/>
    </row>
    <row r="472">
      <c r="J472" s="56"/>
    </row>
    <row r="473">
      <c r="J473" s="56"/>
    </row>
    <row r="474">
      <c r="J474" s="56"/>
    </row>
    <row r="475">
      <c r="J475" s="56"/>
    </row>
    <row r="476">
      <c r="J476" s="56"/>
    </row>
    <row r="477">
      <c r="J477" s="56"/>
    </row>
    <row r="478">
      <c r="J478" s="56"/>
    </row>
    <row r="479">
      <c r="J479" s="56"/>
    </row>
    <row r="480">
      <c r="J480" s="56"/>
    </row>
    <row r="481">
      <c r="J481" s="56"/>
    </row>
    <row r="482">
      <c r="J482" s="56"/>
    </row>
    <row r="483">
      <c r="J483" s="56"/>
    </row>
    <row r="484">
      <c r="J484" s="56"/>
    </row>
    <row r="485">
      <c r="J485" s="56"/>
    </row>
    <row r="486">
      <c r="J486" s="56"/>
    </row>
    <row r="487">
      <c r="J487" s="56"/>
    </row>
    <row r="488">
      <c r="J488" s="56"/>
    </row>
    <row r="489">
      <c r="J489" s="56"/>
    </row>
    <row r="490">
      <c r="J490" s="56"/>
    </row>
    <row r="491">
      <c r="J491" s="56"/>
    </row>
    <row r="492">
      <c r="J492" s="56"/>
    </row>
    <row r="493">
      <c r="J493" s="56"/>
    </row>
    <row r="494">
      <c r="J494" s="56"/>
    </row>
    <row r="495">
      <c r="J495" s="56"/>
    </row>
    <row r="496">
      <c r="J496" s="56"/>
    </row>
    <row r="497">
      <c r="J497" s="56"/>
    </row>
    <row r="498">
      <c r="J498" s="56"/>
    </row>
    <row r="499">
      <c r="J499" s="56"/>
    </row>
    <row r="500">
      <c r="J500" s="56"/>
    </row>
    <row r="501">
      <c r="J501" s="56"/>
    </row>
    <row r="502">
      <c r="J502" s="56"/>
    </row>
    <row r="503">
      <c r="J503" s="56"/>
    </row>
    <row r="504">
      <c r="J504" s="56"/>
    </row>
    <row r="505">
      <c r="J505" s="56"/>
    </row>
    <row r="506">
      <c r="J506" s="56"/>
    </row>
    <row r="507">
      <c r="J507" s="56"/>
    </row>
    <row r="508">
      <c r="J508" s="56"/>
    </row>
    <row r="509">
      <c r="J509" s="56"/>
    </row>
    <row r="510">
      <c r="J510" s="56"/>
    </row>
    <row r="511">
      <c r="J511" s="56"/>
    </row>
    <row r="512">
      <c r="J512" s="56"/>
    </row>
    <row r="513">
      <c r="J513" s="56"/>
    </row>
    <row r="514">
      <c r="J514" s="56"/>
    </row>
    <row r="515">
      <c r="J515" s="56"/>
    </row>
    <row r="516">
      <c r="J516" s="56"/>
    </row>
    <row r="517">
      <c r="J517" s="56"/>
    </row>
    <row r="518">
      <c r="J518" s="56"/>
    </row>
    <row r="519">
      <c r="J519" s="56"/>
    </row>
    <row r="520">
      <c r="J520" s="56"/>
    </row>
    <row r="521">
      <c r="J521" s="56"/>
    </row>
    <row r="522">
      <c r="J522" s="56"/>
    </row>
    <row r="523">
      <c r="J523" s="56"/>
    </row>
    <row r="524">
      <c r="J524" s="56"/>
    </row>
    <row r="525">
      <c r="J525" s="56"/>
    </row>
    <row r="526">
      <c r="J526" s="56"/>
    </row>
    <row r="527">
      <c r="J527" s="56"/>
    </row>
    <row r="528">
      <c r="J528" s="56"/>
    </row>
    <row r="529">
      <c r="J529" s="56"/>
    </row>
    <row r="530">
      <c r="J530" s="56"/>
    </row>
    <row r="531">
      <c r="J531" s="56"/>
    </row>
    <row r="532">
      <c r="J532" s="56"/>
    </row>
    <row r="533">
      <c r="J533" s="56"/>
    </row>
    <row r="534">
      <c r="J534" s="56"/>
    </row>
    <row r="535">
      <c r="J535" s="56"/>
    </row>
    <row r="536">
      <c r="J536" s="56"/>
    </row>
    <row r="537">
      <c r="J537" s="56"/>
    </row>
    <row r="538">
      <c r="J538" s="56"/>
    </row>
    <row r="539">
      <c r="J539" s="56"/>
    </row>
    <row r="540">
      <c r="J540" s="56"/>
    </row>
    <row r="541">
      <c r="J541" s="56"/>
    </row>
    <row r="542">
      <c r="J542" s="56"/>
    </row>
    <row r="543">
      <c r="J543" s="56"/>
    </row>
    <row r="544">
      <c r="J544" s="56"/>
    </row>
    <row r="545">
      <c r="J545" s="56"/>
    </row>
    <row r="546">
      <c r="J546" s="56"/>
    </row>
    <row r="547">
      <c r="J547" s="56"/>
    </row>
    <row r="548">
      <c r="J548" s="56"/>
    </row>
    <row r="549">
      <c r="J549" s="56"/>
    </row>
    <row r="550">
      <c r="J550" s="56"/>
    </row>
    <row r="551">
      <c r="J551" s="56"/>
    </row>
    <row r="552">
      <c r="J552" s="56"/>
    </row>
    <row r="553">
      <c r="J553" s="56"/>
    </row>
    <row r="554">
      <c r="J554" s="56"/>
    </row>
    <row r="555">
      <c r="J555" s="56"/>
    </row>
    <row r="556">
      <c r="J556" s="56"/>
    </row>
    <row r="557">
      <c r="J557" s="56"/>
    </row>
    <row r="558">
      <c r="J558" s="56"/>
    </row>
    <row r="559">
      <c r="J559" s="56"/>
    </row>
    <row r="560">
      <c r="J560" s="56"/>
    </row>
    <row r="561">
      <c r="J561" s="56"/>
    </row>
    <row r="562">
      <c r="J562" s="56"/>
    </row>
    <row r="563">
      <c r="J563" s="56"/>
    </row>
    <row r="564">
      <c r="J564" s="56"/>
    </row>
    <row r="565">
      <c r="J565" s="56"/>
    </row>
    <row r="566">
      <c r="J566" s="56"/>
    </row>
    <row r="567">
      <c r="J567" s="56"/>
    </row>
    <row r="568">
      <c r="J568" s="56"/>
    </row>
    <row r="569">
      <c r="J569" s="56"/>
    </row>
    <row r="570">
      <c r="J570" s="56"/>
    </row>
    <row r="571">
      <c r="J571" s="56"/>
    </row>
    <row r="572">
      <c r="J572" s="56"/>
    </row>
    <row r="573">
      <c r="J573" s="56"/>
    </row>
    <row r="574">
      <c r="J574" s="56"/>
    </row>
    <row r="575">
      <c r="J575" s="56"/>
    </row>
    <row r="576">
      <c r="J576" s="56"/>
    </row>
    <row r="577">
      <c r="J577" s="56"/>
    </row>
    <row r="578">
      <c r="J578" s="56"/>
    </row>
    <row r="579">
      <c r="J579" s="56"/>
    </row>
    <row r="580">
      <c r="J580" s="56"/>
    </row>
    <row r="581">
      <c r="J581" s="56"/>
    </row>
    <row r="582">
      <c r="J582" s="56"/>
    </row>
    <row r="583">
      <c r="J583" s="56"/>
    </row>
    <row r="584">
      <c r="J584" s="56"/>
    </row>
    <row r="585">
      <c r="J585" s="56"/>
    </row>
    <row r="586">
      <c r="J586" s="56"/>
    </row>
    <row r="587">
      <c r="J587" s="56"/>
    </row>
    <row r="588">
      <c r="J588" s="56"/>
    </row>
    <row r="589">
      <c r="J589" s="56"/>
    </row>
    <row r="590">
      <c r="J590" s="56"/>
    </row>
    <row r="591">
      <c r="J591" s="56"/>
    </row>
    <row r="592">
      <c r="J592" s="56"/>
    </row>
    <row r="593">
      <c r="J593" s="56"/>
    </row>
    <row r="594">
      <c r="J594" s="56"/>
    </row>
    <row r="595">
      <c r="J595" s="56"/>
    </row>
    <row r="596">
      <c r="J596" s="56"/>
    </row>
    <row r="597">
      <c r="J597" s="56"/>
    </row>
    <row r="598">
      <c r="J598" s="56"/>
    </row>
    <row r="599">
      <c r="J599" s="56"/>
    </row>
    <row r="600">
      <c r="J600" s="56"/>
    </row>
    <row r="601">
      <c r="J601" s="56"/>
    </row>
    <row r="602">
      <c r="J602" s="56"/>
    </row>
    <row r="603">
      <c r="J603" s="56"/>
    </row>
    <row r="604">
      <c r="J604" s="56"/>
    </row>
    <row r="605">
      <c r="J605" s="56"/>
    </row>
    <row r="606">
      <c r="J606" s="56"/>
    </row>
    <row r="607">
      <c r="J607" s="56"/>
    </row>
    <row r="608">
      <c r="J608" s="56"/>
    </row>
    <row r="609">
      <c r="J609" s="56"/>
    </row>
    <row r="610">
      <c r="J610" s="56"/>
    </row>
    <row r="611">
      <c r="J611" s="56"/>
    </row>
    <row r="612">
      <c r="J612" s="56"/>
    </row>
    <row r="613">
      <c r="J613" s="56"/>
    </row>
    <row r="614">
      <c r="J614" s="56"/>
    </row>
    <row r="615">
      <c r="J615" s="56"/>
    </row>
    <row r="616">
      <c r="J616" s="56"/>
    </row>
    <row r="617">
      <c r="J617" s="56"/>
    </row>
    <row r="618">
      <c r="J618" s="56"/>
    </row>
    <row r="619">
      <c r="J619" s="56"/>
    </row>
    <row r="620">
      <c r="J620" s="56"/>
    </row>
    <row r="621">
      <c r="J621" s="56"/>
    </row>
    <row r="622">
      <c r="J622" s="56"/>
    </row>
    <row r="623">
      <c r="J623" s="56"/>
    </row>
    <row r="624">
      <c r="J624" s="56"/>
    </row>
    <row r="625">
      <c r="J625" s="56"/>
    </row>
    <row r="626">
      <c r="J626" s="56"/>
    </row>
    <row r="627">
      <c r="J627" s="56"/>
    </row>
    <row r="628">
      <c r="J628" s="56"/>
    </row>
    <row r="629">
      <c r="J629" s="56"/>
    </row>
    <row r="630">
      <c r="J630" s="56"/>
    </row>
    <row r="631">
      <c r="J631" s="56"/>
    </row>
    <row r="632">
      <c r="J632" s="56"/>
    </row>
    <row r="633">
      <c r="J633" s="56"/>
    </row>
    <row r="634">
      <c r="J634" s="56"/>
    </row>
    <row r="635">
      <c r="J635" s="56"/>
    </row>
    <row r="636">
      <c r="J636" s="56"/>
    </row>
    <row r="637">
      <c r="J637" s="56"/>
    </row>
    <row r="638">
      <c r="J638" s="56"/>
    </row>
    <row r="639">
      <c r="J639" s="56"/>
    </row>
    <row r="640">
      <c r="J640" s="56"/>
    </row>
    <row r="641">
      <c r="J641" s="56"/>
    </row>
    <row r="642">
      <c r="J642" s="56"/>
    </row>
    <row r="643">
      <c r="J643" s="56"/>
    </row>
    <row r="644">
      <c r="J644" s="56"/>
    </row>
    <row r="645">
      <c r="J645" s="56"/>
    </row>
    <row r="646">
      <c r="J646" s="56"/>
    </row>
    <row r="647">
      <c r="J647" s="56"/>
    </row>
    <row r="648">
      <c r="J648" s="56"/>
    </row>
    <row r="649">
      <c r="J649" s="56"/>
    </row>
    <row r="650">
      <c r="J650" s="56"/>
    </row>
    <row r="651">
      <c r="J651" s="56"/>
    </row>
    <row r="652">
      <c r="J652" s="56"/>
    </row>
    <row r="653">
      <c r="J653" s="56"/>
    </row>
    <row r="654">
      <c r="J654" s="56"/>
    </row>
    <row r="655">
      <c r="J655" s="56"/>
    </row>
    <row r="656">
      <c r="J656" s="56"/>
    </row>
    <row r="657">
      <c r="J657" s="56"/>
    </row>
    <row r="658">
      <c r="J658" s="56"/>
    </row>
    <row r="659">
      <c r="J659" s="56"/>
    </row>
    <row r="660">
      <c r="J660" s="56"/>
    </row>
    <row r="661">
      <c r="J661" s="56"/>
    </row>
    <row r="662">
      <c r="J662" s="56"/>
    </row>
    <row r="663">
      <c r="J663" s="56"/>
    </row>
    <row r="664">
      <c r="J664" s="56"/>
    </row>
    <row r="665">
      <c r="J665" s="56"/>
    </row>
    <row r="666">
      <c r="J666" s="56"/>
    </row>
    <row r="667">
      <c r="J667" s="56"/>
    </row>
    <row r="668">
      <c r="J668" s="56"/>
    </row>
    <row r="669">
      <c r="J669" s="56"/>
    </row>
    <row r="670">
      <c r="J670" s="56"/>
    </row>
    <row r="671">
      <c r="J671" s="56"/>
    </row>
    <row r="672">
      <c r="J672" s="56"/>
    </row>
    <row r="673">
      <c r="J673" s="56"/>
    </row>
    <row r="674">
      <c r="J674" s="56"/>
    </row>
    <row r="675">
      <c r="J675" s="56"/>
    </row>
    <row r="676">
      <c r="J676" s="56"/>
    </row>
    <row r="677">
      <c r="J677" s="56"/>
    </row>
    <row r="678">
      <c r="J678" s="56"/>
    </row>
    <row r="679">
      <c r="J679" s="56"/>
    </row>
    <row r="680">
      <c r="J680" s="56"/>
    </row>
    <row r="681">
      <c r="J681" s="56"/>
    </row>
    <row r="682">
      <c r="J682" s="56"/>
    </row>
    <row r="683">
      <c r="J683" s="56"/>
    </row>
    <row r="684">
      <c r="J684" s="56"/>
    </row>
    <row r="685">
      <c r="J685" s="56"/>
    </row>
    <row r="686">
      <c r="J686" s="56"/>
    </row>
    <row r="687">
      <c r="J687" s="56"/>
    </row>
    <row r="688">
      <c r="J688" s="56"/>
    </row>
    <row r="689">
      <c r="J689" s="56"/>
    </row>
    <row r="690">
      <c r="J690" s="56"/>
    </row>
    <row r="691">
      <c r="J691" s="56"/>
    </row>
    <row r="692">
      <c r="J692" s="56"/>
    </row>
    <row r="693">
      <c r="J693" s="56"/>
    </row>
    <row r="694">
      <c r="J694" s="56"/>
    </row>
    <row r="695">
      <c r="J695" s="56"/>
    </row>
    <row r="696">
      <c r="J696" s="56"/>
    </row>
    <row r="697">
      <c r="J697" s="56"/>
    </row>
    <row r="698">
      <c r="J698" s="56"/>
    </row>
    <row r="699">
      <c r="J699" s="56"/>
    </row>
    <row r="700">
      <c r="J700" s="56"/>
    </row>
    <row r="701">
      <c r="J701" s="56"/>
    </row>
    <row r="702">
      <c r="J702" s="56"/>
    </row>
    <row r="703">
      <c r="J703" s="56"/>
    </row>
    <row r="704">
      <c r="J704" s="56"/>
    </row>
    <row r="705">
      <c r="J705" s="56"/>
    </row>
    <row r="706">
      <c r="J706" s="56"/>
    </row>
    <row r="707">
      <c r="J707" s="56"/>
    </row>
    <row r="708">
      <c r="J708" s="56"/>
    </row>
    <row r="709">
      <c r="J709" s="56"/>
    </row>
    <row r="710">
      <c r="J710" s="56"/>
    </row>
    <row r="711">
      <c r="J711" s="56"/>
    </row>
    <row r="712">
      <c r="J712" s="56"/>
    </row>
    <row r="713">
      <c r="J713" s="56"/>
    </row>
    <row r="714">
      <c r="J714" s="56"/>
    </row>
    <row r="715">
      <c r="J715" s="56"/>
    </row>
    <row r="716">
      <c r="J716" s="56"/>
    </row>
    <row r="717">
      <c r="J717" s="56"/>
    </row>
    <row r="718">
      <c r="J718" s="56"/>
    </row>
    <row r="719">
      <c r="J719" s="56"/>
    </row>
    <row r="720">
      <c r="J720" s="56"/>
    </row>
    <row r="721">
      <c r="J721" s="56"/>
    </row>
    <row r="722">
      <c r="J722" s="56"/>
    </row>
    <row r="723">
      <c r="J723" s="56"/>
    </row>
    <row r="724">
      <c r="J724" s="56"/>
    </row>
    <row r="725">
      <c r="J725" s="56"/>
    </row>
    <row r="726">
      <c r="J726" s="56"/>
    </row>
    <row r="727">
      <c r="J727" s="56"/>
    </row>
    <row r="728">
      <c r="J728" s="56"/>
    </row>
    <row r="729">
      <c r="J729" s="56"/>
    </row>
    <row r="730">
      <c r="J730" s="56"/>
    </row>
    <row r="731">
      <c r="J731" s="56"/>
    </row>
    <row r="732">
      <c r="J732" s="56"/>
    </row>
    <row r="733">
      <c r="J733" s="56"/>
    </row>
    <row r="734">
      <c r="J734" s="56"/>
    </row>
    <row r="735">
      <c r="J735" s="56"/>
    </row>
    <row r="736">
      <c r="J736" s="56"/>
    </row>
    <row r="737">
      <c r="J737" s="56"/>
    </row>
    <row r="738">
      <c r="J738" s="56"/>
    </row>
    <row r="739">
      <c r="J739" s="56"/>
    </row>
    <row r="740">
      <c r="J740" s="56"/>
    </row>
    <row r="741">
      <c r="J741" s="56"/>
    </row>
    <row r="742">
      <c r="J742" s="56"/>
    </row>
    <row r="743">
      <c r="J743" s="56"/>
    </row>
    <row r="744">
      <c r="J744" s="56"/>
    </row>
    <row r="745">
      <c r="J745" s="56"/>
    </row>
    <row r="746">
      <c r="J746" s="56"/>
    </row>
    <row r="747">
      <c r="J747" s="56"/>
    </row>
    <row r="748">
      <c r="J748" s="56"/>
    </row>
    <row r="749">
      <c r="J749" s="56"/>
    </row>
    <row r="750">
      <c r="J750" s="56"/>
    </row>
    <row r="751">
      <c r="J751" s="56"/>
    </row>
    <row r="752">
      <c r="J752" s="56"/>
    </row>
    <row r="753">
      <c r="J753" s="56"/>
    </row>
    <row r="754">
      <c r="J754" s="56"/>
    </row>
    <row r="755">
      <c r="J755" s="56"/>
    </row>
    <row r="756">
      <c r="J756" s="56"/>
    </row>
    <row r="757">
      <c r="J757" s="56"/>
    </row>
    <row r="758">
      <c r="J758" s="56"/>
    </row>
    <row r="759">
      <c r="J759" s="56"/>
    </row>
    <row r="760">
      <c r="J760" s="56"/>
    </row>
    <row r="761">
      <c r="J761" s="56"/>
    </row>
    <row r="762">
      <c r="J762" s="56"/>
    </row>
    <row r="763">
      <c r="J763" s="56"/>
    </row>
    <row r="764">
      <c r="J764" s="56"/>
    </row>
    <row r="765">
      <c r="J765" s="56"/>
    </row>
    <row r="766">
      <c r="J766" s="56"/>
    </row>
    <row r="767">
      <c r="J767" s="56"/>
    </row>
    <row r="768">
      <c r="J768" s="56"/>
    </row>
    <row r="769">
      <c r="J769" s="56"/>
    </row>
    <row r="770">
      <c r="J770" s="56"/>
    </row>
    <row r="771">
      <c r="J771" s="56"/>
    </row>
    <row r="772">
      <c r="J772" s="56"/>
    </row>
    <row r="773">
      <c r="J773" s="56"/>
    </row>
    <row r="774">
      <c r="J774" s="56"/>
    </row>
    <row r="775">
      <c r="J775" s="56"/>
    </row>
    <row r="776">
      <c r="J776" s="56"/>
    </row>
    <row r="777">
      <c r="J777" s="56"/>
    </row>
    <row r="778">
      <c r="J778" s="56"/>
    </row>
    <row r="779">
      <c r="J779" s="56"/>
    </row>
    <row r="780">
      <c r="J780" s="56"/>
    </row>
    <row r="781">
      <c r="J781" s="56"/>
    </row>
    <row r="782">
      <c r="J782" s="56"/>
    </row>
    <row r="783">
      <c r="J783" s="56"/>
    </row>
    <row r="784">
      <c r="J784" s="56"/>
    </row>
    <row r="785">
      <c r="J785" s="56"/>
    </row>
    <row r="786">
      <c r="J786" s="56"/>
    </row>
    <row r="787">
      <c r="J787" s="56"/>
    </row>
    <row r="788">
      <c r="J788" s="56"/>
    </row>
    <row r="789">
      <c r="J789" s="56"/>
    </row>
    <row r="790">
      <c r="J790" s="56"/>
    </row>
    <row r="791">
      <c r="J791" s="56"/>
    </row>
    <row r="792">
      <c r="J792" s="56"/>
    </row>
    <row r="793">
      <c r="J793" s="56"/>
    </row>
    <row r="794">
      <c r="J794" s="56"/>
    </row>
    <row r="795">
      <c r="J795" s="56"/>
    </row>
    <row r="796">
      <c r="J796" s="56"/>
    </row>
    <row r="797">
      <c r="J797" s="56"/>
    </row>
    <row r="798">
      <c r="J798" s="56"/>
    </row>
    <row r="799">
      <c r="J799" s="56"/>
    </row>
    <row r="800">
      <c r="J800" s="56"/>
    </row>
    <row r="801">
      <c r="J801" s="56"/>
    </row>
    <row r="802">
      <c r="J802" s="56"/>
    </row>
    <row r="803">
      <c r="J803" s="56"/>
    </row>
    <row r="804">
      <c r="J804" s="56"/>
    </row>
    <row r="805">
      <c r="J805" s="56"/>
    </row>
    <row r="806">
      <c r="J806" s="56"/>
    </row>
    <row r="807">
      <c r="J807" s="56"/>
    </row>
    <row r="808">
      <c r="J808" s="56"/>
    </row>
    <row r="809">
      <c r="J809" s="56"/>
    </row>
    <row r="810">
      <c r="J810" s="56"/>
    </row>
    <row r="811">
      <c r="J811" s="56"/>
    </row>
    <row r="812">
      <c r="J812" s="56"/>
    </row>
    <row r="813">
      <c r="J813" s="56"/>
    </row>
    <row r="814">
      <c r="J814" s="56"/>
    </row>
    <row r="815">
      <c r="J815" s="56"/>
    </row>
    <row r="816">
      <c r="J816" s="56"/>
    </row>
    <row r="817">
      <c r="J817" s="56"/>
    </row>
    <row r="818">
      <c r="J818" s="56"/>
    </row>
    <row r="819">
      <c r="J819" s="56"/>
    </row>
    <row r="820">
      <c r="J820" s="56"/>
    </row>
    <row r="821">
      <c r="J821" s="56"/>
    </row>
    <row r="822">
      <c r="J822" s="56"/>
    </row>
    <row r="823">
      <c r="J823" s="56"/>
    </row>
    <row r="824">
      <c r="J824" s="56"/>
    </row>
    <row r="825">
      <c r="J825" s="56"/>
    </row>
    <row r="826">
      <c r="J826" s="56"/>
    </row>
    <row r="827">
      <c r="J827" s="56"/>
    </row>
    <row r="828">
      <c r="J828" s="56"/>
    </row>
    <row r="829">
      <c r="J829" s="56"/>
    </row>
    <row r="830">
      <c r="J830" s="56"/>
    </row>
    <row r="831">
      <c r="J831" s="56"/>
    </row>
    <row r="832">
      <c r="J832" s="56"/>
    </row>
    <row r="833">
      <c r="J833" s="56"/>
    </row>
    <row r="834">
      <c r="J834" s="56"/>
    </row>
    <row r="835">
      <c r="J835" s="56"/>
    </row>
    <row r="836">
      <c r="J836" s="56"/>
    </row>
    <row r="837">
      <c r="J837" s="56"/>
    </row>
    <row r="838">
      <c r="J838" s="56"/>
    </row>
    <row r="839">
      <c r="J839" s="56"/>
    </row>
    <row r="840">
      <c r="J840" s="56"/>
    </row>
    <row r="841">
      <c r="J841" s="56"/>
    </row>
    <row r="842">
      <c r="J842" s="56"/>
    </row>
    <row r="843">
      <c r="J843" s="56"/>
    </row>
    <row r="844">
      <c r="J844" s="56"/>
    </row>
    <row r="845">
      <c r="J845" s="56"/>
    </row>
    <row r="846">
      <c r="J846" s="56"/>
    </row>
    <row r="847">
      <c r="J847" s="56"/>
    </row>
    <row r="848">
      <c r="J848" s="56"/>
    </row>
    <row r="849">
      <c r="J849" s="56"/>
    </row>
    <row r="850">
      <c r="J850" s="56"/>
    </row>
    <row r="851">
      <c r="J851" s="56"/>
    </row>
    <row r="852">
      <c r="J852" s="56"/>
    </row>
    <row r="853">
      <c r="J853" s="56"/>
    </row>
    <row r="854">
      <c r="J854" s="56"/>
    </row>
    <row r="855">
      <c r="J855" s="56"/>
    </row>
    <row r="856">
      <c r="J856" s="56"/>
    </row>
    <row r="857">
      <c r="J857" s="56"/>
    </row>
    <row r="858">
      <c r="J858" s="56"/>
    </row>
    <row r="859">
      <c r="J859" s="56"/>
    </row>
    <row r="860">
      <c r="J860" s="56"/>
    </row>
    <row r="861">
      <c r="J861" s="56"/>
    </row>
    <row r="862">
      <c r="J862" s="56"/>
    </row>
    <row r="863">
      <c r="J863" s="56"/>
    </row>
    <row r="864">
      <c r="J864" s="56"/>
    </row>
    <row r="865">
      <c r="J865" s="56"/>
    </row>
    <row r="866">
      <c r="J866" s="56"/>
    </row>
    <row r="867">
      <c r="J867" s="56"/>
    </row>
    <row r="868">
      <c r="J868" s="56"/>
    </row>
    <row r="869">
      <c r="J869" s="56"/>
    </row>
    <row r="870">
      <c r="J870" s="56"/>
    </row>
    <row r="871">
      <c r="J871" s="56"/>
    </row>
    <row r="872">
      <c r="J872" s="56"/>
    </row>
    <row r="873">
      <c r="J873" s="56"/>
    </row>
    <row r="874">
      <c r="J874" s="56"/>
    </row>
    <row r="875">
      <c r="J875" s="56"/>
    </row>
    <row r="876">
      <c r="J876" s="56"/>
    </row>
    <row r="877">
      <c r="J877" s="56"/>
    </row>
    <row r="878">
      <c r="J878" s="56"/>
    </row>
    <row r="879">
      <c r="J879" s="56"/>
    </row>
    <row r="880">
      <c r="J880" s="56"/>
    </row>
    <row r="881">
      <c r="J881" s="56"/>
    </row>
    <row r="882">
      <c r="J882" s="56"/>
    </row>
    <row r="883">
      <c r="J883" s="56"/>
    </row>
    <row r="884">
      <c r="J884" s="56"/>
    </row>
    <row r="885">
      <c r="J885" s="56"/>
    </row>
    <row r="886">
      <c r="J886" s="56"/>
    </row>
    <row r="887">
      <c r="J887" s="56"/>
    </row>
    <row r="888">
      <c r="J888" s="56"/>
    </row>
    <row r="889">
      <c r="J889" s="56"/>
    </row>
    <row r="890">
      <c r="J890" s="56"/>
    </row>
    <row r="891">
      <c r="J891" s="56"/>
    </row>
    <row r="892">
      <c r="J892" s="56"/>
    </row>
    <row r="893">
      <c r="J893" s="56"/>
    </row>
    <row r="894">
      <c r="J894" s="56"/>
    </row>
    <row r="895">
      <c r="J895" s="56"/>
    </row>
    <row r="896">
      <c r="J896" s="56"/>
    </row>
    <row r="897">
      <c r="J897" s="56"/>
    </row>
    <row r="898">
      <c r="J898" s="56"/>
    </row>
    <row r="899">
      <c r="J899" s="56"/>
    </row>
    <row r="900">
      <c r="J900" s="56"/>
    </row>
    <row r="901">
      <c r="J901" s="56"/>
    </row>
    <row r="902">
      <c r="J902" s="56"/>
    </row>
    <row r="903">
      <c r="J903" s="56"/>
    </row>
    <row r="904">
      <c r="J904" s="56"/>
    </row>
    <row r="905">
      <c r="J905" s="56"/>
    </row>
    <row r="906">
      <c r="J906" s="56"/>
    </row>
    <row r="907">
      <c r="J907" s="56"/>
    </row>
    <row r="908">
      <c r="J908" s="56"/>
    </row>
    <row r="909">
      <c r="J909" s="56"/>
    </row>
    <row r="910">
      <c r="J910" s="56"/>
    </row>
    <row r="911">
      <c r="J911" s="56"/>
    </row>
    <row r="912">
      <c r="J912" s="56"/>
    </row>
    <row r="913">
      <c r="J913" s="56"/>
    </row>
    <row r="914">
      <c r="J914" s="56"/>
    </row>
    <row r="915">
      <c r="J915" s="56"/>
    </row>
    <row r="916">
      <c r="J916" s="56"/>
    </row>
    <row r="917">
      <c r="J917" s="56"/>
    </row>
    <row r="918">
      <c r="J918" s="56"/>
    </row>
    <row r="919">
      <c r="J919" s="56"/>
    </row>
    <row r="920">
      <c r="J920" s="56"/>
    </row>
    <row r="921">
      <c r="J921" s="56"/>
    </row>
    <row r="922">
      <c r="J922" s="56"/>
    </row>
    <row r="923">
      <c r="J923" s="56"/>
    </row>
    <row r="924">
      <c r="J924" s="56"/>
    </row>
    <row r="925">
      <c r="J925" s="56"/>
    </row>
    <row r="926">
      <c r="J926" s="56"/>
    </row>
    <row r="927">
      <c r="J927" s="56"/>
    </row>
    <row r="928">
      <c r="J928" s="56"/>
    </row>
    <row r="929">
      <c r="J929" s="56"/>
    </row>
    <row r="930">
      <c r="J930" s="56"/>
    </row>
    <row r="931">
      <c r="J931" s="56"/>
    </row>
    <row r="932">
      <c r="J932" s="56"/>
    </row>
    <row r="933">
      <c r="J933" s="56"/>
    </row>
    <row r="934">
      <c r="J934" s="56"/>
    </row>
    <row r="935">
      <c r="J935" s="56"/>
    </row>
    <row r="936">
      <c r="J936" s="56"/>
    </row>
    <row r="937">
      <c r="J937" s="56"/>
    </row>
    <row r="938">
      <c r="J938" s="56"/>
    </row>
    <row r="939">
      <c r="J939" s="56"/>
    </row>
    <row r="940">
      <c r="J940" s="56"/>
    </row>
    <row r="941">
      <c r="J941" s="56"/>
    </row>
    <row r="942">
      <c r="J942" s="56"/>
    </row>
    <row r="943">
      <c r="J943" s="56"/>
    </row>
    <row r="944">
      <c r="J944" s="56"/>
    </row>
    <row r="945">
      <c r="J945" s="56"/>
    </row>
    <row r="946">
      <c r="J946" s="56"/>
    </row>
    <row r="947">
      <c r="J947" s="56"/>
    </row>
    <row r="948">
      <c r="J948" s="56"/>
    </row>
    <row r="949">
      <c r="J949" s="56"/>
    </row>
    <row r="950">
      <c r="J950" s="56"/>
    </row>
    <row r="951">
      <c r="J951" s="56"/>
    </row>
    <row r="952">
      <c r="J952" s="56"/>
    </row>
    <row r="953">
      <c r="J953" s="56"/>
    </row>
    <row r="954">
      <c r="J954" s="56"/>
    </row>
    <row r="955">
      <c r="J955" s="56"/>
    </row>
    <row r="956">
      <c r="J956" s="56"/>
    </row>
    <row r="957">
      <c r="J957" s="56"/>
    </row>
    <row r="958">
      <c r="J958" s="56"/>
    </row>
    <row r="959">
      <c r="J959" s="56"/>
    </row>
    <row r="960">
      <c r="J960" s="56"/>
    </row>
    <row r="961">
      <c r="J961" s="56"/>
    </row>
    <row r="962">
      <c r="J962" s="56"/>
    </row>
    <row r="963">
      <c r="J963" s="56"/>
    </row>
    <row r="964">
      <c r="J964" s="56"/>
    </row>
    <row r="965">
      <c r="J965" s="56"/>
    </row>
    <row r="966">
      <c r="J966" s="56"/>
    </row>
    <row r="967">
      <c r="J967" s="56"/>
    </row>
    <row r="968">
      <c r="J968" s="56"/>
    </row>
    <row r="969">
      <c r="J969" s="56"/>
    </row>
    <row r="970">
      <c r="J970" s="56"/>
    </row>
    <row r="971">
      <c r="J971" s="56"/>
    </row>
    <row r="972">
      <c r="J972" s="56"/>
    </row>
    <row r="973">
      <c r="J973" s="56"/>
    </row>
    <row r="974">
      <c r="J974" s="56"/>
    </row>
    <row r="975">
      <c r="J975" s="56"/>
    </row>
    <row r="976">
      <c r="J976" s="56"/>
    </row>
    <row r="977">
      <c r="J977" s="56"/>
    </row>
    <row r="978">
      <c r="J978" s="56"/>
    </row>
    <row r="979">
      <c r="J979" s="56"/>
    </row>
    <row r="980">
      <c r="J980" s="56"/>
    </row>
    <row r="981">
      <c r="J981" s="56"/>
    </row>
    <row r="982">
      <c r="J982" s="56"/>
    </row>
    <row r="983">
      <c r="J983" s="56"/>
    </row>
    <row r="984">
      <c r="J984" s="56"/>
    </row>
  </sheetData>
  <dataValidations>
    <dataValidation type="list" allowBlank="1" showErrorMessage="1" sqref="S2:S40">
      <formula1>"Work Not Started Yet,Measrument Done,Material &amp; Team Reached,Structure Work,Panel,Inverter pending,Project On Hold,I&amp;C Completed"</formula1>
    </dataValidation>
    <dataValidation type="list" allowBlank="1" showErrorMessage="1" sqref="P2:P40">
      <formula1>"Doc Recieved,File login,COMPLET"</formula1>
    </dataValidation>
    <dataValidation type="list" allowBlank="1" showErrorMessage="1" sqref="R2:R40">
      <formula1>"Loan apply,File prepare,File into bank,Loan approved,Loan Rejected,CASH FILE"</formula1>
    </dataValidation>
    <dataValidation type="list" allowBlank="1" showErrorMessage="1" sqref="T2:T40">
      <formula1>"Pending,Meter &amp; File submit DISCOM,Net Metering,Subsidy apply with site photo,Subsidy granted"</formula1>
    </dataValidation>
    <dataValidation type="list" allowBlank="1" showErrorMessage="1" sqref="U2:U40">
      <formula1>"Cash To Mahi,1st Installment Received,2ns Installment Received,Payment Not Received Yet,Payment Due"</formula1>
    </dataValidation>
    <dataValidation type="list" allowBlank="1" showErrorMessage="1" sqref="Q2:Q40">
      <formula1>"Center (78K),Both (78 + 17),WITH OUT SUBSIDY"</formula1>
    </dataValidation>
  </dataValidations>
  <hyperlinks>
    <hyperlink r:id="rId1" ref="K11"/>
    <hyperlink r:id="rId2" ref="K28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5"/>
    <col customWidth="1" min="2" max="2" width="37.63"/>
    <col customWidth="1" min="3" max="3" width="28.0"/>
    <col customWidth="1" min="4" max="4" width="5.13"/>
    <col customWidth="1" min="5" max="5" width="4.25"/>
    <col customWidth="1" min="6" max="6" width="14.5"/>
    <col customWidth="1" min="7" max="7" width="14.38"/>
    <col customWidth="1" min="8" max="8" width="12.13"/>
    <col customWidth="1" min="9" max="9" width="10.25"/>
    <col customWidth="1" min="10" max="10" width="34.25"/>
    <col customWidth="1" min="11" max="11" width="31.75"/>
    <col customWidth="1" min="12" max="12" width="9.13"/>
    <col customWidth="1" min="13" max="13" width="9.75"/>
    <col customWidth="1" min="14" max="14" width="8.75"/>
    <col customWidth="1" min="15" max="15" width="6.5"/>
    <col customWidth="1" min="16" max="16" width="6.63"/>
    <col customWidth="1" min="17" max="17" width="13.25"/>
    <col customWidth="1" min="18" max="18" width="16.5"/>
    <col customWidth="1" min="19" max="19" width="17.0"/>
    <col customWidth="1" min="20" max="20" width="18.25"/>
    <col customWidth="1" min="21" max="21" width="27.38"/>
    <col customWidth="1" min="22" max="22" width="24.5"/>
    <col customWidth="1" min="23" max="23" width="16.13"/>
    <col customWidth="1" min="24" max="24" width="16.38"/>
    <col customWidth="1" min="25" max="25" width="12.5"/>
    <col customWidth="1" min="26" max="26" width="22.0"/>
    <col customWidth="1" min="27" max="27" width="21.5"/>
    <col customWidth="1" min="28" max="28" width="9.75"/>
    <col customWidth="1" min="29" max="29" width="16.5"/>
    <col customWidth="1" min="30" max="30" width="15.13"/>
    <col customWidth="1" min="31" max="31" width="23.13"/>
    <col customWidth="1" min="32" max="32" width="11.75"/>
    <col customWidth="1" min="33" max="33" width="22.5"/>
    <col customWidth="1" min="34" max="34" width="11.38"/>
    <col customWidth="1" min="35" max="35" width="8.38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6" t="s">
        <v>10</v>
      </c>
      <c r="I1" s="3" t="s">
        <v>9</v>
      </c>
      <c r="J1" s="3" t="s">
        <v>11</v>
      </c>
      <c r="K1" s="3" t="s">
        <v>12</v>
      </c>
      <c r="L1" s="3" t="s">
        <v>13</v>
      </c>
      <c r="M1" s="3" t="s">
        <v>21</v>
      </c>
      <c r="N1" s="3" t="s">
        <v>23</v>
      </c>
      <c r="O1" s="3" t="s">
        <v>15</v>
      </c>
      <c r="P1" s="3" t="s">
        <v>26</v>
      </c>
      <c r="Q1" s="9" t="s">
        <v>28</v>
      </c>
      <c r="R1" s="9" t="s">
        <v>30</v>
      </c>
      <c r="S1" s="9" t="s">
        <v>32</v>
      </c>
      <c r="T1" s="9" t="s">
        <v>34</v>
      </c>
      <c r="U1" s="9" t="s">
        <v>22</v>
      </c>
      <c r="V1" s="9" t="s">
        <v>37</v>
      </c>
      <c r="W1" s="10" t="s">
        <v>25</v>
      </c>
      <c r="X1" s="10" t="s">
        <v>27</v>
      </c>
      <c r="Y1" s="10" t="s">
        <v>29</v>
      </c>
      <c r="Z1" s="10" t="s">
        <v>42</v>
      </c>
      <c r="AA1" s="10" t="s">
        <v>33</v>
      </c>
      <c r="AB1" s="10" t="s">
        <v>43</v>
      </c>
      <c r="AC1" s="10" t="s">
        <v>44</v>
      </c>
      <c r="AD1" s="10" t="s">
        <v>35</v>
      </c>
      <c r="AE1" s="10" t="s">
        <v>45</v>
      </c>
      <c r="AF1" s="8" t="s">
        <v>38</v>
      </c>
      <c r="AG1" s="8" t="s">
        <v>39</v>
      </c>
      <c r="AH1" s="8" t="s">
        <v>40</v>
      </c>
      <c r="AI1" s="8" t="s">
        <v>41</v>
      </c>
      <c r="AJ1" s="8"/>
      <c r="AK1" s="8"/>
      <c r="AL1" s="8"/>
      <c r="AM1" s="8"/>
      <c r="AN1" s="8"/>
      <c r="AO1" s="12"/>
      <c r="AP1" s="12"/>
      <c r="AQ1" s="12"/>
      <c r="AR1" s="8"/>
      <c r="AS1" s="13"/>
      <c r="AT1" s="8"/>
      <c r="AU1" s="8"/>
      <c r="AV1" s="8"/>
      <c r="AW1" s="13"/>
      <c r="AX1" s="12"/>
      <c r="AY1" s="8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</row>
    <row r="2">
      <c r="A2" s="25">
        <v>1.0</v>
      </c>
      <c r="B2" s="26" t="s">
        <v>61</v>
      </c>
      <c r="C2" s="26" t="s">
        <v>62</v>
      </c>
      <c r="D2" s="26" t="s">
        <v>49</v>
      </c>
      <c r="E2" s="26"/>
      <c r="F2" s="26" t="s">
        <v>54</v>
      </c>
      <c r="G2" s="26" t="s">
        <v>54</v>
      </c>
      <c r="H2" s="27">
        <v>2.1152903184E11</v>
      </c>
      <c r="I2" s="27">
        <v>6.375219178E9</v>
      </c>
      <c r="J2" s="26" t="s">
        <v>65</v>
      </c>
      <c r="K2" s="26"/>
      <c r="L2" s="27">
        <v>200000.0</v>
      </c>
      <c r="M2" s="27">
        <v>180000.0</v>
      </c>
      <c r="N2" s="27"/>
      <c r="O2" s="26"/>
      <c r="P2" s="31">
        <f t="shared" ref="P2:P6" si="1">M2-O2</f>
        <v>180000</v>
      </c>
      <c r="Q2" s="32" t="s">
        <v>55</v>
      </c>
      <c r="R2" s="32" t="s">
        <v>56</v>
      </c>
      <c r="S2" s="32" t="s">
        <v>58</v>
      </c>
      <c r="T2" s="19" t="s">
        <v>59</v>
      </c>
      <c r="U2" s="26" t="s">
        <v>63</v>
      </c>
      <c r="V2" s="28" t="s">
        <v>64</v>
      </c>
      <c r="W2" s="26"/>
      <c r="X2" s="26"/>
      <c r="Y2" s="26"/>
      <c r="Z2" s="26"/>
      <c r="AA2" s="27">
        <f t="shared" ref="AA2:AA6" si="2">P2-Y2</f>
        <v>180000</v>
      </c>
      <c r="AB2" s="27">
        <f t="shared" ref="AB2:AB6" si="3">O2-W2-X2</f>
        <v>0</v>
      </c>
      <c r="AC2" s="27">
        <f t="shared" ref="AC2:AC6" si="4">AD2-AB2</f>
        <v>180000</v>
      </c>
      <c r="AD2" s="27">
        <f t="shared" ref="AD2:AD6" si="5">AB2+AA2</f>
        <v>180000</v>
      </c>
      <c r="AE2" s="27">
        <f t="shared" ref="AE2:AE6" si="6">W2+X2+Y2</f>
        <v>0</v>
      </c>
      <c r="AF2" s="26"/>
      <c r="AG2" s="26"/>
      <c r="AH2" s="27">
        <f t="shared" ref="AH2:AH6" si="7">SUM(AF2:AG2)</f>
        <v>0</v>
      </c>
      <c r="AI2" s="26"/>
      <c r="AJ2" s="26"/>
      <c r="AK2" s="26"/>
      <c r="AL2" s="26"/>
      <c r="AM2" s="26"/>
      <c r="AN2" s="26"/>
      <c r="AO2" s="26"/>
      <c r="AP2" s="26"/>
      <c r="AQ2" s="26"/>
      <c r="AR2" s="26"/>
      <c r="AS2" s="26"/>
      <c r="AT2" s="26"/>
      <c r="AU2" s="26"/>
      <c r="AV2" s="26"/>
      <c r="AW2" s="26"/>
      <c r="AX2" s="26"/>
      <c r="AY2" s="26"/>
      <c r="AZ2" s="26"/>
      <c r="BA2" s="26"/>
      <c r="BB2" s="26"/>
      <c r="BC2" s="26"/>
      <c r="BD2" s="26"/>
      <c r="BE2" s="26"/>
      <c r="BF2" s="26"/>
      <c r="BG2" s="26"/>
      <c r="BH2" s="26"/>
      <c r="BI2" s="26"/>
      <c r="BJ2" s="26"/>
      <c r="BK2" s="26"/>
      <c r="BL2" s="26"/>
      <c r="BM2" s="26"/>
      <c r="BN2" s="26"/>
      <c r="BO2" s="26"/>
      <c r="BP2" s="26"/>
      <c r="BQ2" s="26"/>
      <c r="BR2" s="26"/>
      <c r="BS2" s="26"/>
      <c r="BT2" s="26"/>
      <c r="BU2" s="26"/>
      <c r="BV2" s="26"/>
      <c r="BW2" s="26"/>
      <c r="BX2" s="26"/>
    </row>
    <row r="3">
      <c r="A3" s="25">
        <v>2.0</v>
      </c>
      <c r="B3" s="26" t="s">
        <v>96</v>
      </c>
      <c r="C3" s="26" t="s">
        <v>97</v>
      </c>
      <c r="D3" s="26" t="s">
        <v>49</v>
      </c>
      <c r="E3" s="26"/>
      <c r="F3" s="26" t="s">
        <v>98</v>
      </c>
      <c r="G3" s="26" t="s">
        <v>99</v>
      </c>
      <c r="H3" s="27">
        <v>2.10475028631E11</v>
      </c>
      <c r="I3" s="27">
        <v>9.782494506E9</v>
      </c>
      <c r="J3" s="26" t="s">
        <v>100</v>
      </c>
      <c r="K3" s="26"/>
      <c r="L3" s="27">
        <v>200000.0</v>
      </c>
      <c r="M3" s="27">
        <v>180000.0</v>
      </c>
      <c r="N3" s="27"/>
      <c r="O3" s="26"/>
      <c r="P3" s="31">
        <f t="shared" si="1"/>
        <v>180000</v>
      </c>
      <c r="Q3" s="32" t="s">
        <v>55</v>
      </c>
      <c r="R3" s="32" t="s">
        <v>71</v>
      </c>
      <c r="S3" s="32" t="s">
        <v>58</v>
      </c>
      <c r="T3" s="19" t="s">
        <v>59</v>
      </c>
      <c r="U3" s="26" t="s">
        <v>63</v>
      </c>
      <c r="V3" s="28" t="s">
        <v>64</v>
      </c>
      <c r="W3" s="26"/>
      <c r="X3" s="26"/>
      <c r="Y3" s="26"/>
      <c r="Z3" s="26"/>
      <c r="AA3" s="27">
        <f t="shared" si="2"/>
        <v>180000</v>
      </c>
      <c r="AB3" s="27">
        <f t="shared" si="3"/>
        <v>0</v>
      </c>
      <c r="AC3" s="27">
        <f t="shared" si="4"/>
        <v>180000</v>
      </c>
      <c r="AD3" s="27">
        <f t="shared" si="5"/>
        <v>180000</v>
      </c>
      <c r="AE3" s="27">
        <f t="shared" si="6"/>
        <v>0</v>
      </c>
      <c r="AF3" s="26"/>
      <c r="AG3" s="26"/>
      <c r="AH3" s="27">
        <f t="shared" si="7"/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26"/>
      <c r="BJ3" s="26"/>
      <c r="BK3" s="26"/>
      <c r="BL3" s="26"/>
      <c r="BM3" s="26"/>
      <c r="BN3" s="26"/>
      <c r="BO3" s="26"/>
      <c r="BP3" s="26"/>
      <c r="BQ3" s="26"/>
      <c r="BR3" s="26"/>
      <c r="BS3" s="26"/>
      <c r="BT3" s="26"/>
      <c r="BU3" s="26"/>
      <c r="BV3" s="26"/>
      <c r="BW3" s="26"/>
      <c r="BX3" s="26"/>
    </row>
    <row r="4">
      <c r="A4" s="43">
        <v>1.0</v>
      </c>
      <c r="B4" s="44" t="s">
        <v>69</v>
      </c>
      <c r="C4" s="45" t="s">
        <v>114</v>
      </c>
      <c r="D4" s="45" t="s">
        <v>49</v>
      </c>
      <c r="E4" s="37" t="s">
        <v>110</v>
      </c>
      <c r="F4" s="45" t="s">
        <v>116</v>
      </c>
      <c r="G4" s="45" t="s">
        <v>50</v>
      </c>
      <c r="H4" s="46">
        <v>2.11543006844E11</v>
      </c>
      <c r="I4" s="46">
        <v>9.511557564E9</v>
      </c>
      <c r="J4" s="45" t="s">
        <v>120</v>
      </c>
      <c r="K4" s="45"/>
      <c r="L4" s="46">
        <v>200000.0</v>
      </c>
      <c r="M4" s="46">
        <v>180000.0</v>
      </c>
      <c r="N4" s="46">
        <v>180000.0</v>
      </c>
      <c r="O4" s="46">
        <v>180000.0</v>
      </c>
      <c r="P4" s="47">
        <f t="shared" si="1"/>
        <v>0</v>
      </c>
      <c r="Q4" s="48" t="s">
        <v>90</v>
      </c>
      <c r="R4" s="48" t="s">
        <v>71</v>
      </c>
      <c r="S4" s="48" t="s">
        <v>92</v>
      </c>
      <c r="T4" s="30" t="s">
        <v>93</v>
      </c>
      <c r="U4" s="37" t="s">
        <v>94</v>
      </c>
      <c r="V4" s="37" t="s">
        <v>95</v>
      </c>
      <c r="W4" s="46">
        <v>126000.0</v>
      </c>
      <c r="X4" s="37">
        <v>54000.0</v>
      </c>
      <c r="Y4" s="45"/>
      <c r="Z4" s="45"/>
      <c r="AA4" s="46">
        <f t="shared" si="2"/>
        <v>0</v>
      </c>
      <c r="AB4" s="46">
        <f t="shared" si="3"/>
        <v>0</v>
      </c>
      <c r="AC4" s="46">
        <f t="shared" si="4"/>
        <v>0</v>
      </c>
      <c r="AD4" s="46">
        <f t="shared" si="5"/>
        <v>0</v>
      </c>
      <c r="AE4" s="46">
        <f t="shared" si="6"/>
        <v>180000</v>
      </c>
      <c r="AF4" s="45"/>
      <c r="AG4" s="46">
        <v>126000.0</v>
      </c>
      <c r="AH4" s="46">
        <f t="shared" si="7"/>
        <v>126000</v>
      </c>
      <c r="AI4" s="50"/>
      <c r="AJ4" s="50"/>
      <c r="AK4" s="50"/>
      <c r="AL4" s="50"/>
      <c r="AM4" s="50"/>
      <c r="AN4" s="50"/>
      <c r="AO4" s="50"/>
      <c r="AP4" s="50"/>
      <c r="AQ4" s="50"/>
      <c r="AR4" s="50"/>
      <c r="AS4" s="52"/>
      <c r="AT4" s="50"/>
      <c r="AU4" s="50"/>
      <c r="AV4" s="50"/>
      <c r="AW4" s="52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  <c r="BM4" s="50"/>
      <c r="BN4" s="50"/>
      <c r="BO4" s="50"/>
      <c r="BP4" s="50"/>
      <c r="BQ4" s="50"/>
      <c r="BR4" s="50"/>
      <c r="BS4" s="50"/>
      <c r="BT4" s="50"/>
      <c r="BU4" s="50"/>
      <c r="BV4" s="50"/>
      <c r="BW4" s="50"/>
      <c r="BX4" s="50"/>
    </row>
    <row r="5">
      <c r="A5" s="43">
        <v>2.0</v>
      </c>
      <c r="B5" s="45" t="s">
        <v>69</v>
      </c>
      <c r="C5" s="45" t="s">
        <v>132</v>
      </c>
      <c r="D5" s="45" t="s">
        <v>53</v>
      </c>
      <c r="E5" s="37" t="s">
        <v>110</v>
      </c>
      <c r="F5" s="45" t="s">
        <v>54</v>
      </c>
      <c r="G5" s="45" t="s">
        <v>54</v>
      </c>
      <c r="H5" s="46">
        <v>2.11529014007E11</v>
      </c>
      <c r="I5" s="46">
        <v>7.725913389E9</v>
      </c>
      <c r="J5" s="45" t="s">
        <v>133</v>
      </c>
      <c r="K5" s="54" t="s">
        <v>134</v>
      </c>
      <c r="L5" s="46">
        <v>250000.0</v>
      </c>
      <c r="M5" s="46">
        <v>250000.0</v>
      </c>
      <c r="N5" s="46">
        <v>250000.0</v>
      </c>
      <c r="O5" s="46">
        <v>250000.0</v>
      </c>
      <c r="P5" s="47">
        <f t="shared" si="1"/>
        <v>0</v>
      </c>
      <c r="Q5" s="48" t="s">
        <v>90</v>
      </c>
      <c r="R5" s="48" t="s">
        <v>56</v>
      </c>
      <c r="S5" s="48" t="s">
        <v>92</v>
      </c>
      <c r="T5" s="30" t="s">
        <v>93</v>
      </c>
      <c r="U5" s="45" t="s">
        <v>94</v>
      </c>
      <c r="V5" s="37" t="s">
        <v>95</v>
      </c>
      <c r="W5" s="46">
        <v>225000.0</v>
      </c>
      <c r="X5" s="46">
        <v>25000.0</v>
      </c>
      <c r="Y5" s="45"/>
      <c r="Z5" s="45"/>
      <c r="AA5" s="46">
        <f t="shared" si="2"/>
        <v>0</v>
      </c>
      <c r="AB5" s="46">
        <f t="shared" si="3"/>
        <v>0</v>
      </c>
      <c r="AC5" s="46">
        <f t="shared" si="4"/>
        <v>0</v>
      </c>
      <c r="AD5" s="46">
        <f t="shared" si="5"/>
        <v>0</v>
      </c>
      <c r="AE5" s="46">
        <f t="shared" si="6"/>
        <v>250000</v>
      </c>
      <c r="AF5" s="45"/>
      <c r="AG5" s="46">
        <f>225000+25000</f>
        <v>250000</v>
      </c>
      <c r="AH5" s="46">
        <f t="shared" si="7"/>
        <v>250000</v>
      </c>
      <c r="AI5" s="50"/>
      <c r="AJ5" s="50"/>
      <c r="AK5" s="50"/>
      <c r="AL5" s="50"/>
      <c r="AM5" s="50"/>
      <c r="AN5" s="50"/>
      <c r="AO5" s="50"/>
      <c r="AP5" s="50"/>
      <c r="AQ5" s="50"/>
      <c r="AR5" s="50"/>
      <c r="AS5" s="50"/>
      <c r="AT5" s="50"/>
      <c r="AU5" s="50"/>
      <c r="AV5" s="50"/>
      <c r="AW5" s="50"/>
      <c r="AX5" s="50"/>
      <c r="AY5" s="50"/>
      <c r="AZ5" s="50"/>
      <c r="BA5" s="50"/>
      <c r="BB5" s="50"/>
      <c r="BC5" s="50"/>
      <c r="BD5" s="50"/>
      <c r="BE5" s="50"/>
      <c r="BF5" s="50"/>
      <c r="BG5" s="50"/>
      <c r="BH5" s="50"/>
      <c r="BI5" s="50"/>
      <c r="BJ5" s="50"/>
      <c r="BK5" s="50"/>
      <c r="BL5" s="50"/>
      <c r="BM5" s="50"/>
      <c r="BN5" s="50"/>
      <c r="BO5" s="50"/>
      <c r="BP5" s="50"/>
      <c r="BQ5" s="50"/>
      <c r="BR5" s="50"/>
      <c r="BS5" s="50"/>
      <c r="BT5" s="50"/>
      <c r="BU5" s="50"/>
      <c r="BV5" s="50"/>
      <c r="BW5" s="50"/>
      <c r="BX5" s="50"/>
    </row>
    <row r="6" ht="18.0" customHeight="1">
      <c r="A6" s="43">
        <v>3.0</v>
      </c>
      <c r="B6" s="45" t="s">
        <v>141</v>
      </c>
      <c r="C6" s="45" t="s">
        <v>142</v>
      </c>
      <c r="D6" s="45" t="s">
        <v>143</v>
      </c>
      <c r="E6" s="37" t="s">
        <v>110</v>
      </c>
      <c r="F6" s="45" t="s">
        <v>144</v>
      </c>
      <c r="G6" s="45" t="s">
        <v>54</v>
      </c>
      <c r="H6" s="46">
        <v>2.11529027759E11</v>
      </c>
      <c r="I6" s="46">
        <v>7.792049002E9</v>
      </c>
      <c r="J6" s="45" t="s">
        <v>145</v>
      </c>
      <c r="K6" s="37" t="s">
        <v>146</v>
      </c>
      <c r="L6" s="46">
        <v>250000.0</v>
      </c>
      <c r="M6" s="46">
        <v>250000.0</v>
      </c>
      <c r="N6" s="46">
        <v>250000.0</v>
      </c>
      <c r="O6" s="46">
        <v>200000.0</v>
      </c>
      <c r="P6" s="47">
        <f t="shared" si="1"/>
        <v>50000</v>
      </c>
      <c r="Q6" s="48" t="s">
        <v>90</v>
      </c>
      <c r="R6" s="48" t="s">
        <v>56</v>
      </c>
      <c r="S6" s="48" t="s">
        <v>92</v>
      </c>
      <c r="T6" s="30" t="s">
        <v>93</v>
      </c>
      <c r="U6" s="45" t="s">
        <v>94</v>
      </c>
      <c r="V6" s="37" t="s">
        <v>95</v>
      </c>
      <c r="W6" s="46">
        <v>140000.0</v>
      </c>
      <c r="X6" s="46">
        <v>60000.0</v>
      </c>
      <c r="Y6" s="46">
        <v>50000.0</v>
      </c>
      <c r="Z6" s="46"/>
      <c r="AA6" s="46">
        <f t="shared" si="2"/>
        <v>0</v>
      </c>
      <c r="AB6" s="46">
        <f t="shared" si="3"/>
        <v>0</v>
      </c>
      <c r="AC6" s="46">
        <f t="shared" si="4"/>
        <v>0</v>
      </c>
      <c r="AD6" s="46">
        <f t="shared" si="5"/>
        <v>0</v>
      </c>
      <c r="AE6" s="46">
        <f t="shared" si="6"/>
        <v>250000</v>
      </c>
      <c r="AF6" s="46">
        <v>50000.0</v>
      </c>
      <c r="AG6" s="46">
        <f>140000+60000</f>
        <v>200000</v>
      </c>
      <c r="AH6" s="46">
        <f t="shared" si="7"/>
        <v>250000</v>
      </c>
      <c r="AI6" s="50"/>
      <c r="AJ6" s="50"/>
      <c r="AK6" s="50"/>
      <c r="AL6" s="50"/>
      <c r="AM6" s="50"/>
      <c r="AN6" s="50"/>
      <c r="AO6" s="50"/>
      <c r="AP6" s="50"/>
      <c r="AQ6" s="50"/>
      <c r="AR6" s="50"/>
      <c r="AS6" s="50"/>
      <c r="AT6" s="50"/>
      <c r="AU6" s="50"/>
      <c r="AV6" s="50"/>
      <c r="AW6" s="50"/>
      <c r="AX6" s="50"/>
      <c r="AY6" s="50"/>
      <c r="AZ6" s="50"/>
      <c r="BA6" s="50"/>
      <c r="BB6" s="50"/>
      <c r="BC6" s="50"/>
      <c r="BD6" s="50"/>
      <c r="BE6" s="50"/>
      <c r="BF6" s="50"/>
      <c r="BG6" s="50"/>
      <c r="BH6" s="50"/>
      <c r="BI6" s="50"/>
      <c r="BJ6" s="50"/>
      <c r="BK6" s="50"/>
      <c r="BL6" s="50"/>
      <c r="BM6" s="50"/>
      <c r="BN6" s="50"/>
      <c r="BO6" s="50"/>
      <c r="BP6" s="50"/>
      <c r="BQ6" s="50"/>
      <c r="BR6" s="50"/>
      <c r="BS6" s="50"/>
      <c r="BT6" s="50"/>
      <c r="BU6" s="50"/>
      <c r="BV6" s="50"/>
      <c r="BW6" s="50"/>
      <c r="BX6" s="50"/>
    </row>
    <row r="8">
      <c r="C8" s="57"/>
    </row>
    <row r="11">
      <c r="G11" s="29"/>
    </row>
  </sheetData>
  <dataValidations>
    <dataValidation type="list" allowBlank="1" showErrorMessage="1" sqref="T2:T6">
      <formula1>"Work Not Started Yet,Measrument Done,Material &amp; Team Reached,Structure Work,Panel,Inverter pending,Project On Hold,I&amp;C Completed"</formula1>
    </dataValidation>
    <dataValidation type="list" allowBlank="1" showErrorMessage="1" sqref="Q2:Q6">
      <formula1>"Doc Recieved,File login,COMPLET"</formula1>
    </dataValidation>
    <dataValidation type="list" allowBlank="1" showErrorMessage="1" sqref="S2:S6">
      <formula1>"Loan apply,File prepare,File into bank,Loan approved,Loan Rejected,CASH FILE"</formula1>
    </dataValidation>
    <dataValidation type="list" allowBlank="1" showErrorMessage="1" sqref="U2:U6">
      <formula1>"Pending,Meter &amp; File submit DISCOM,Net Metering,Subsidy apply with site photo,Subsidy granted"</formula1>
    </dataValidation>
    <dataValidation type="list" allowBlank="1" showErrorMessage="1" sqref="V2:V6">
      <formula1>"Cash To Mahi,1st Installment Received,2ns Installment Received,Payment Not Received Yet,Payment Due"</formula1>
    </dataValidation>
    <dataValidation type="list" allowBlank="1" showErrorMessage="1" sqref="R2:R6">
      <formula1>"Center (78K),Both (78 + 17),WITH OUT SUBSIDY"</formula1>
    </dataValidation>
  </dataValidations>
  <hyperlinks>
    <hyperlink r:id="rId1" ref="H1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3.5"/>
    <col customWidth="1" min="2" max="2" width="34.88"/>
    <col customWidth="1" min="3" max="3" width="24.13"/>
    <col customWidth="1" min="4" max="4" width="6.5"/>
    <col customWidth="1" min="5" max="5" width="4.25"/>
    <col customWidth="1" min="6" max="6" width="15.75"/>
    <col customWidth="1" min="7" max="7" width="17.63"/>
    <col customWidth="1" min="8" max="8" width="12.13"/>
    <col customWidth="1" min="9" max="9" width="10.25"/>
    <col customWidth="1" min="10" max="10" width="40.13"/>
    <col customWidth="1" min="11" max="11" width="9.13"/>
    <col customWidth="1" min="12" max="12" width="16.75"/>
    <col customWidth="1" min="13" max="13" width="20.0"/>
    <col customWidth="1" min="14" max="14" width="13.25"/>
    <col customWidth="1" min="15" max="15" width="6.63"/>
    <col customWidth="1" min="16" max="16" width="6.5"/>
    <col customWidth="1" min="17" max="17" width="16.0"/>
    <col customWidth="1" min="18" max="18" width="20.5"/>
    <col customWidth="1" min="19" max="19" width="17.0"/>
    <col customWidth="1" min="20" max="20" width="17.63"/>
    <col customWidth="1" min="21" max="21" width="27.38"/>
    <col customWidth="1" min="22" max="22" width="25.75"/>
    <col customWidth="1" min="23" max="23" width="16.13"/>
    <col customWidth="1" min="24" max="24" width="16.38"/>
    <col customWidth="1" min="25" max="25" width="12.5"/>
    <col customWidth="1" min="26" max="26" width="22.0"/>
    <col customWidth="1" min="27" max="27" width="21.5"/>
    <col customWidth="1" min="28" max="28" width="9.75"/>
    <col customWidth="1" min="29" max="29" width="16.5"/>
    <col customWidth="1" min="30" max="30" width="15.13"/>
    <col customWidth="1" min="31" max="31" width="23.13"/>
    <col customWidth="1" min="32" max="32" width="27.75"/>
    <col customWidth="1" min="33" max="33" width="18.0"/>
    <col customWidth="1" min="34" max="34" width="22.5"/>
    <col customWidth="1" min="35" max="35" width="11.38"/>
    <col customWidth="1" min="36" max="36" width="29.5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6" t="s">
        <v>10</v>
      </c>
      <c r="I1" s="3" t="s">
        <v>9</v>
      </c>
      <c r="J1" s="3" t="s">
        <v>11</v>
      </c>
      <c r="K1" s="3" t="s">
        <v>12</v>
      </c>
      <c r="L1" s="3" t="s">
        <v>13</v>
      </c>
      <c r="M1" s="3" t="s">
        <v>21</v>
      </c>
      <c r="N1" s="3" t="s">
        <v>23</v>
      </c>
      <c r="O1" s="3" t="s">
        <v>15</v>
      </c>
      <c r="P1" s="3" t="s">
        <v>26</v>
      </c>
      <c r="Q1" s="9" t="s">
        <v>28</v>
      </c>
      <c r="R1" s="9" t="s">
        <v>30</v>
      </c>
      <c r="S1" s="9" t="s">
        <v>32</v>
      </c>
      <c r="T1" s="9" t="s">
        <v>34</v>
      </c>
      <c r="U1" s="9" t="s">
        <v>22</v>
      </c>
      <c r="V1" s="9" t="s">
        <v>37</v>
      </c>
      <c r="W1" s="10" t="s">
        <v>25</v>
      </c>
      <c r="X1" s="10" t="s">
        <v>27</v>
      </c>
      <c r="Y1" s="10" t="s">
        <v>29</v>
      </c>
      <c r="Z1" s="10" t="s">
        <v>42</v>
      </c>
      <c r="AA1" s="10" t="s">
        <v>33</v>
      </c>
      <c r="AB1" s="10" t="s">
        <v>43</v>
      </c>
      <c r="AC1" s="10" t="s">
        <v>44</v>
      </c>
      <c r="AD1" s="10" t="s">
        <v>35</v>
      </c>
      <c r="AE1" s="10" t="s">
        <v>36</v>
      </c>
      <c r="AF1" s="14" t="s">
        <v>38</v>
      </c>
      <c r="AG1" s="14" t="s">
        <v>46</v>
      </c>
      <c r="AH1" s="14" t="s">
        <v>39</v>
      </c>
      <c r="AI1" s="14" t="s">
        <v>40</v>
      </c>
      <c r="AJ1" s="14" t="s">
        <v>47</v>
      </c>
    </row>
    <row r="2">
      <c r="A2" s="15">
        <v>1.0</v>
      </c>
      <c r="B2" s="15"/>
      <c r="C2" s="16" t="s">
        <v>48</v>
      </c>
      <c r="D2" s="16" t="s">
        <v>49</v>
      </c>
      <c r="E2" s="16"/>
      <c r="F2" s="16" t="s">
        <v>50</v>
      </c>
      <c r="G2" s="16" t="s">
        <v>50</v>
      </c>
      <c r="H2" s="17">
        <v>2.11543020847E11</v>
      </c>
      <c r="I2" s="17"/>
      <c r="J2" s="18"/>
      <c r="K2" s="18"/>
      <c r="L2" s="17">
        <v>200000.0</v>
      </c>
      <c r="M2" s="17"/>
      <c r="N2" s="17"/>
      <c r="O2" s="16">
        <v>180000.0</v>
      </c>
      <c r="P2" s="16"/>
      <c r="Q2" s="16" t="s">
        <v>55</v>
      </c>
      <c r="R2" s="16" t="s">
        <v>56</v>
      </c>
      <c r="S2" s="16" t="s">
        <v>58</v>
      </c>
      <c r="T2" s="19" t="s">
        <v>59</v>
      </c>
      <c r="U2" s="19" t="s">
        <v>63</v>
      </c>
      <c r="V2" s="28" t="s">
        <v>64</v>
      </c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</row>
    <row r="3">
      <c r="A3" s="15">
        <v>2.0</v>
      </c>
      <c r="B3" s="15"/>
      <c r="C3" s="19" t="s">
        <v>66</v>
      </c>
      <c r="D3" s="19" t="s">
        <v>53</v>
      </c>
      <c r="E3" s="19"/>
      <c r="F3" s="19" t="s">
        <v>67</v>
      </c>
      <c r="G3" s="19" t="s">
        <v>68</v>
      </c>
      <c r="H3" s="19">
        <v>2.10474035096E11</v>
      </c>
      <c r="I3" s="19"/>
      <c r="J3" s="21"/>
      <c r="K3" s="21"/>
      <c r="L3" s="19">
        <v>265000.0</v>
      </c>
      <c r="M3" s="19"/>
      <c r="N3" s="19"/>
      <c r="O3" s="19">
        <v>200000.0</v>
      </c>
      <c r="P3" s="19"/>
      <c r="Q3" s="16" t="s">
        <v>55</v>
      </c>
      <c r="R3" s="16" t="s">
        <v>71</v>
      </c>
      <c r="S3" s="16" t="s">
        <v>58</v>
      </c>
      <c r="T3" s="19" t="s">
        <v>59</v>
      </c>
      <c r="U3" s="19" t="s">
        <v>63</v>
      </c>
      <c r="V3" s="28" t="s">
        <v>64</v>
      </c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</row>
    <row r="4">
      <c r="A4" s="15">
        <v>3.0</v>
      </c>
      <c r="B4" s="15"/>
      <c r="C4" s="19" t="s">
        <v>79</v>
      </c>
      <c r="D4" s="19" t="s">
        <v>49</v>
      </c>
      <c r="E4" s="19"/>
      <c r="F4" s="19" t="s">
        <v>80</v>
      </c>
      <c r="G4" s="19" t="s">
        <v>81</v>
      </c>
      <c r="H4" s="19">
        <v>2.11442022442E11</v>
      </c>
      <c r="I4" s="19">
        <v>8.440018959E9</v>
      </c>
      <c r="J4" s="21" t="s">
        <v>82</v>
      </c>
      <c r="K4" s="21"/>
      <c r="L4" s="19">
        <v>200000.0</v>
      </c>
      <c r="M4" s="19"/>
      <c r="N4" s="19"/>
      <c r="O4" s="19">
        <v>180000.0</v>
      </c>
      <c r="P4" s="19"/>
      <c r="Q4" s="16" t="s">
        <v>55</v>
      </c>
      <c r="R4" s="16" t="s">
        <v>71</v>
      </c>
      <c r="S4" s="16" t="s">
        <v>60</v>
      </c>
      <c r="T4" s="19" t="s">
        <v>59</v>
      </c>
      <c r="U4" s="19" t="s">
        <v>63</v>
      </c>
      <c r="V4" s="28" t="s">
        <v>64</v>
      </c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</row>
    <row r="5">
      <c r="A5" s="35">
        <v>4.0</v>
      </c>
      <c r="B5" s="29"/>
      <c r="C5" s="19" t="s">
        <v>83</v>
      </c>
      <c r="D5" s="19" t="s">
        <v>84</v>
      </c>
      <c r="E5" s="19"/>
      <c r="F5" s="19" t="s">
        <v>85</v>
      </c>
      <c r="G5" s="19" t="s">
        <v>68</v>
      </c>
      <c r="H5" s="19">
        <v>2.10474004248E11</v>
      </c>
      <c r="I5" s="19">
        <v>9.783111419E9</v>
      </c>
      <c r="J5" s="21" t="s">
        <v>86</v>
      </c>
      <c r="K5" s="21"/>
      <c r="L5" s="19">
        <v>215000.0</v>
      </c>
      <c r="M5" s="19">
        <v>215000.0</v>
      </c>
      <c r="N5" s="19"/>
      <c r="O5" s="19">
        <v>200000.0</v>
      </c>
      <c r="P5" s="19">
        <f t="shared" ref="P5:P19" si="1">M5-O5</f>
        <v>15000</v>
      </c>
      <c r="Q5" s="16" t="s">
        <v>55</v>
      </c>
      <c r="R5" s="16" t="s">
        <v>71</v>
      </c>
      <c r="S5" s="16" t="s">
        <v>58</v>
      </c>
      <c r="T5" s="19" t="s">
        <v>59</v>
      </c>
      <c r="U5" s="19" t="s">
        <v>63</v>
      </c>
      <c r="V5" s="28" t="s">
        <v>64</v>
      </c>
      <c r="W5" s="19">
        <v>0.0</v>
      </c>
      <c r="X5" s="19">
        <v>0.0</v>
      </c>
      <c r="Y5" s="19">
        <v>0.0</v>
      </c>
      <c r="Z5" s="19">
        <v>0.0</v>
      </c>
      <c r="AA5" s="38">
        <f t="shared" ref="AA5:AA6" si="2">P5-Y5-Z5</f>
        <v>15000</v>
      </c>
      <c r="AB5" s="38">
        <f t="shared" ref="AB5:AB32" si="3">O5-W5-X5</f>
        <v>200000</v>
      </c>
      <c r="AC5" s="38"/>
      <c r="AD5" s="38">
        <f t="shared" ref="AD5:AD32" si="4">N5-(W5+X5+Y5)</f>
        <v>0</v>
      </c>
      <c r="AE5" s="38">
        <f t="shared" ref="AE5:AE32" si="5">W5+X5+Y5+Z5</f>
        <v>0</v>
      </c>
      <c r="AF5" s="22"/>
      <c r="AG5" s="22"/>
      <c r="AH5" s="22"/>
      <c r="AI5" s="22"/>
      <c r="AJ5" s="22"/>
    </row>
    <row r="6">
      <c r="A6" s="35">
        <v>5.0</v>
      </c>
      <c r="B6" s="29"/>
      <c r="C6" s="19" t="s">
        <v>101</v>
      </c>
      <c r="D6" s="19" t="s">
        <v>49</v>
      </c>
      <c r="E6" s="19"/>
      <c r="F6" s="19" t="s">
        <v>102</v>
      </c>
      <c r="G6" s="19" t="s">
        <v>89</v>
      </c>
      <c r="H6" s="19">
        <v>2.11525000635E11</v>
      </c>
      <c r="I6" s="19">
        <v>9.660596131E9</v>
      </c>
      <c r="J6" s="21" t="s">
        <v>103</v>
      </c>
      <c r="K6" s="21"/>
      <c r="L6" s="19">
        <v>200000.0</v>
      </c>
      <c r="M6" s="19">
        <v>180000.0</v>
      </c>
      <c r="N6" s="19"/>
      <c r="O6" s="22"/>
      <c r="P6" s="19">
        <f t="shared" si="1"/>
        <v>180000</v>
      </c>
      <c r="Q6" s="16" t="s">
        <v>55</v>
      </c>
      <c r="R6" s="16" t="s">
        <v>71</v>
      </c>
      <c r="S6" s="16" t="s">
        <v>58</v>
      </c>
      <c r="T6" s="19" t="s">
        <v>59</v>
      </c>
      <c r="U6" s="19" t="s">
        <v>63</v>
      </c>
      <c r="V6" s="28" t="s">
        <v>64</v>
      </c>
      <c r="W6" s="19">
        <v>0.0</v>
      </c>
      <c r="X6" s="19">
        <v>0.0</v>
      </c>
      <c r="Y6" s="19">
        <v>0.0</v>
      </c>
      <c r="Z6" s="19">
        <v>0.0</v>
      </c>
      <c r="AA6" s="38">
        <f t="shared" si="2"/>
        <v>180000</v>
      </c>
      <c r="AB6" s="38">
        <f t="shared" si="3"/>
        <v>0</v>
      </c>
      <c r="AC6" s="38"/>
      <c r="AD6" s="38">
        <f t="shared" si="4"/>
        <v>0</v>
      </c>
      <c r="AE6" s="38">
        <f t="shared" si="5"/>
        <v>0</v>
      </c>
      <c r="AF6" s="22"/>
      <c r="AG6" s="22"/>
      <c r="AH6" s="22"/>
      <c r="AI6" s="22"/>
      <c r="AJ6" s="22"/>
    </row>
    <row r="7">
      <c r="A7" s="36">
        <v>1.0</v>
      </c>
      <c r="B7" s="36" t="s">
        <v>117</v>
      </c>
      <c r="C7" s="36" t="s">
        <v>119</v>
      </c>
      <c r="D7" s="36" t="s">
        <v>49</v>
      </c>
      <c r="E7" s="36"/>
      <c r="F7" s="36" t="s">
        <v>121</v>
      </c>
      <c r="G7" s="36" t="s">
        <v>122</v>
      </c>
      <c r="H7" s="41">
        <v>2.10416015274E11</v>
      </c>
      <c r="I7" s="30">
        <v>9.982032347E9</v>
      </c>
      <c r="J7" s="42" t="s">
        <v>123</v>
      </c>
      <c r="K7" s="42"/>
      <c r="L7" s="41">
        <v>200000.0</v>
      </c>
      <c r="M7" s="41">
        <v>180000.0</v>
      </c>
      <c r="N7" s="41">
        <v>151836.0</v>
      </c>
      <c r="O7" s="41">
        <v>180000.0</v>
      </c>
      <c r="P7" s="30">
        <f t="shared" si="1"/>
        <v>0</v>
      </c>
      <c r="Q7" s="36" t="s">
        <v>90</v>
      </c>
      <c r="R7" s="36" t="s">
        <v>56</v>
      </c>
      <c r="S7" s="36" t="s">
        <v>92</v>
      </c>
      <c r="T7" s="30" t="s">
        <v>93</v>
      </c>
      <c r="U7" s="30" t="s">
        <v>94</v>
      </c>
      <c r="V7" s="37" t="s">
        <v>95</v>
      </c>
      <c r="W7" s="30">
        <v>126000.0</v>
      </c>
      <c r="X7" s="30">
        <v>54000.0</v>
      </c>
      <c r="Y7" s="30">
        <v>0.0</v>
      </c>
      <c r="Z7" s="30">
        <v>0.0</v>
      </c>
      <c r="AA7" s="49">
        <v>0.0</v>
      </c>
      <c r="AB7" s="40">
        <f t="shared" si="3"/>
        <v>0</v>
      </c>
      <c r="AC7" s="40">
        <f t="shared" ref="AC7:AC32" si="6">AD7-AB7</f>
        <v>-28164</v>
      </c>
      <c r="AD7" s="40">
        <f t="shared" si="4"/>
        <v>-28164</v>
      </c>
      <c r="AE7" s="40">
        <f t="shared" si="5"/>
        <v>180000</v>
      </c>
      <c r="AF7" s="30">
        <v>0.0</v>
      </c>
      <c r="AG7" s="30"/>
      <c r="AH7" s="30">
        <v>180000.0</v>
      </c>
      <c r="AI7" s="39"/>
      <c r="AJ7" s="30" t="s">
        <v>129</v>
      </c>
    </row>
    <row r="8">
      <c r="A8" s="36">
        <v>2.0</v>
      </c>
      <c r="B8" s="36" t="s">
        <v>117</v>
      </c>
      <c r="C8" s="36" t="s">
        <v>131</v>
      </c>
      <c r="D8" s="36" t="s">
        <v>49</v>
      </c>
      <c r="E8" s="36"/>
      <c r="F8" s="36" t="s">
        <v>54</v>
      </c>
      <c r="G8" s="36" t="s">
        <v>54</v>
      </c>
      <c r="H8" s="41">
        <v>2.11529010329E11</v>
      </c>
      <c r="I8" s="41"/>
      <c r="J8" s="53"/>
      <c r="K8" s="53"/>
      <c r="L8" s="41">
        <v>200000.0</v>
      </c>
      <c r="M8" s="41">
        <v>180000.0</v>
      </c>
      <c r="N8" s="41">
        <v>134327.0</v>
      </c>
      <c r="O8" s="36">
        <v>180000.0</v>
      </c>
      <c r="P8" s="30">
        <f t="shared" si="1"/>
        <v>0</v>
      </c>
      <c r="Q8" s="36" t="s">
        <v>90</v>
      </c>
      <c r="R8" s="36" t="s">
        <v>71</v>
      </c>
      <c r="S8" s="36" t="s">
        <v>92</v>
      </c>
      <c r="T8" s="30" t="s">
        <v>93</v>
      </c>
      <c r="U8" s="30" t="s">
        <v>94</v>
      </c>
      <c r="V8" s="37" t="s">
        <v>95</v>
      </c>
      <c r="W8" s="30">
        <v>126000.0</v>
      </c>
      <c r="X8" s="30">
        <v>54000.0</v>
      </c>
      <c r="Y8" s="30">
        <v>0.0</v>
      </c>
      <c r="Z8" s="30">
        <v>0.0</v>
      </c>
      <c r="AA8" s="40">
        <f t="shared" ref="AA8:AA32" si="7">P8-Y8-Z8</f>
        <v>0</v>
      </c>
      <c r="AB8" s="40">
        <f t="shared" si="3"/>
        <v>0</v>
      </c>
      <c r="AC8" s="40">
        <f t="shared" si="6"/>
        <v>-45673</v>
      </c>
      <c r="AD8" s="40">
        <f t="shared" si="4"/>
        <v>-45673</v>
      </c>
      <c r="AE8" s="40">
        <f t="shared" si="5"/>
        <v>180000</v>
      </c>
      <c r="AF8" s="30"/>
      <c r="AG8" s="30"/>
      <c r="AH8" s="30">
        <v>180000.0</v>
      </c>
      <c r="AI8" s="39"/>
      <c r="AJ8" s="30" t="s">
        <v>129</v>
      </c>
    </row>
    <row r="9">
      <c r="A9" s="36">
        <v>3.0</v>
      </c>
      <c r="B9" s="35" t="s">
        <v>138</v>
      </c>
      <c r="C9" s="36" t="s">
        <v>139</v>
      </c>
      <c r="D9" s="36" t="s">
        <v>126</v>
      </c>
      <c r="E9" s="36"/>
      <c r="F9" s="36" t="s">
        <v>88</v>
      </c>
      <c r="G9" s="36" t="s">
        <v>89</v>
      </c>
      <c r="H9" s="41">
        <v>2.11525054876E11</v>
      </c>
      <c r="I9" s="41">
        <v>9.61020609E9</v>
      </c>
      <c r="J9" s="42" t="s">
        <v>140</v>
      </c>
      <c r="K9" s="42"/>
      <c r="L9" s="41">
        <v>280000.0</v>
      </c>
      <c r="M9" s="41">
        <v>280000.0</v>
      </c>
      <c r="N9" s="41">
        <v>224189.0</v>
      </c>
      <c r="O9" s="36">
        <v>200000.0</v>
      </c>
      <c r="P9" s="30">
        <f t="shared" si="1"/>
        <v>80000</v>
      </c>
      <c r="Q9" s="36" t="s">
        <v>90</v>
      </c>
      <c r="R9" s="36" t="s">
        <v>56</v>
      </c>
      <c r="S9" s="36" t="s">
        <v>92</v>
      </c>
      <c r="T9" s="30" t="s">
        <v>93</v>
      </c>
      <c r="U9" s="30" t="s">
        <v>94</v>
      </c>
      <c r="V9" s="37" t="s">
        <v>130</v>
      </c>
      <c r="W9" s="30">
        <v>140000.0</v>
      </c>
      <c r="X9" s="30">
        <v>60000.0</v>
      </c>
      <c r="Y9" s="30">
        <v>0.0</v>
      </c>
      <c r="Z9" s="30">
        <v>80000.0</v>
      </c>
      <c r="AA9" s="40">
        <f t="shared" si="7"/>
        <v>0</v>
      </c>
      <c r="AB9" s="40">
        <f t="shared" si="3"/>
        <v>0</v>
      </c>
      <c r="AC9" s="40">
        <f t="shared" si="6"/>
        <v>24189</v>
      </c>
      <c r="AD9" s="40">
        <f t="shared" si="4"/>
        <v>24189</v>
      </c>
      <c r="AE9" s="40">
        <f t="shared" si="5"/>
        <v>280000</v>
      </c>
      <c r="AF9" s="30">
        <v>0.0</v>
      </c>
      <c r="AG9" s="39"/>
      <c r="AH9" s="30">
        <f>140000+60000</f>
        <v>200000</v>
      </c>
      <c r="AI9" s="39"/>
      <c r="AJ9" s="30" t="s">
        <v>129</v>
      </c>
    </row>
    <row r="10">
      <c r="A10" s="36">
        <v>4.0</v>
      </c>
      <c r="B10" s="35" t="s">
        <v>149</v>
      </c>
      <c r="C10" s="36" t="s">
        <v>150</v>
      </c>
      <c r="D10" s="36" t="s">
        <v>53</v>
      </c>
      <c r="E10" s="36"/>
      <c r="F10" s="36" t="s">
        <v>54</v>
      </c>
      <c r="G10" s="36" t="s">
        <v>54</v>
      </c>
      <c r="H10" s="41">
        <v>2.11529010288E11</v>
      </c>
      <c r="I10" s="30">
        <v>7.23204713E9</v>
      </c>
      <c r="J10" s="42" t="s">
        <v>151</v>
      </c>
      <c r="K10" s="42"/>
      <c r="L10" s="41">
        <v>255000.0</v>
      </c>
      <c r="M10" s="41">
        <v>250000.0</v>
      </c>
      <c r="N10" s="41">
        <v>197011.0</v>
      </c>
      <c r="O10" s="36">
        <v>200000.0</v>
      </c>
      <c r="P10" s="30">
        <f t="shared" si="1"/>
        <v>50000</v>
      </c>
      <c r="Q10" s="36" t="s">
        <v>90</v>
      </c>
      <c r="R10" s="36" t="s">
        <v>56</v>
      </c>
      <c r="S10" s="36" t="s">
        <v>92</v>
      </c>
      <c r="T10" s="30" t="s">
        <v>93</v>
      </c>
      <c r="U10" s="30" t="s">
        <v>94</v>
      </c>
      <c r="V10" s="37" t="s">
        <v>130</v>
      </c>
      <c r="W10" s="30">
        <v>140000.0</v>
      </c>
      <c r="X10" s="30">
        <v>60000.0</v>
      </c>
      <c r="Y10" s="30">
        <v>0.0</v>
      </c>
      <c r="Z10" s="30">
        <v>50000.0</v>
      </c>
      <c r="AA10" s="40">
        <f t="shared" si="7"/>
        <v>0</v>
      </c>
      <c r="AB10" s="40">
        <f t="shared" si="3"/>
        <v>0</v>
      </c>
      <c r="AC10" s="40">
        <f t="shared" si="6"/>
        <v>-2989</v>
      </c>
      <c r="AD10" s="40">
        <f t="shared" si="4"/>
        <v>-2989</v>
      </c>
      <c r="AE10" s="40">
        <f t="shared" si="5"/>
        <v>250000</v>
      </c>
      <c r="AF10" s="30">
        <v>0.0</v>
      </c>
      <c r="AG10" s="30"/>
      <c r="AH10" s="30">
        <v>200000.0</v>
      </c>
      <c r="AI10" s="39"/>
      <c r="AJ10" s="30" t="s">
        <v>129</v>
      </c>
    </row>
    <row r="11">
      <c r="A11" s="36">
        <v>5.0</v>
      </c>
      <c r="B11" s="35" t="s">
        <v>154</v>
      </c>
      <c r="C11" s="36" t="s">
        <v>156</v>
      </c>
      <c r="D11" s="36" t="s">
        <v>53</v>
      </c>
      <c r="E11" s="36"/>
      <c r="F11" s="36" t="s">
        <v>54</v>
      </c>
      <c r="G11" s="36" t="s">
        <v>54</v>
      </c>
      <c r="H11" s="41">
        <v>2.11529009385E11</v>
      </c>
      <c r="I11" s="30">
        <v>9.782221944E9</v>
      </c>
      <c r="J11" s="42" t="s">
        <v>157</v>
      </c>
      <c r="K11" s="42"/>
      <c r="L11" s="41">
        <v>280000.0</v>
      </c>
      <c r="M11" s="41">
        <v>275000.0</v>
      </c>
      <c r="N11" s="41">
        <v>228249.0</v>
      </c>
      <c r="O11" s="36">
        <v>200000.0</v>
      </c>
      <c r="P11" s="30">
        <f t="shared" si="1"/>
        <v>75000</v>
      </c>
      <c r="Q11" s="36" t="s">
        <v>90</v>
      </c>
      <c r="R11" s="36" t="s">
        <v>71</v>
      </c>
      <c r="S11" s="36" t="s">
        <v>92</v>
      </c>
      <c r="T11" s="30" t="s">
        <v>93</v>
      </c>
      <c r="U11" s="30" t="s">
        <v>94</v>
      </c>
      <c r="V11" s="37" t="s">
        <v>130</v>
      </c>
      <c r="W11" s="30">
        <v>160000.0</v>
      </c>
      <c r="X11" s="30">
        <v>40000.0</v>
      </c>
      <c r="Y11" s="30">
        <v>0.0</v>
      </c>
      <c r="Z11" s="30">
        <v>70000.0</v>
      </c>
      <c r="AA11" s="40">
        <f t="shared" si="7"/>
        <v>5000</v>
      </c>
      <c r="AB11" s="40">
        <f t="shared" si="3"/>
        <v>0</v>
      </c>
      <c r="AC11" s="40">
        <f t="shared" si="6"/>
        <v>28249</v>
      </c>
      <c r="AD11" s="40">
        <f t="shared" si="4"/>
        <v>28249</v>
      </c>
      <c r="AE11" s="40">
        <f t="shared" si="5"/>
        <v>270000</v>
      </c>
      <c r="AF11" s="39"/>
      <c r="AG11" s="30">
        <v>60000.0</v>
      </c>
      <c r="AH11" s="30">
        <f>160000+40000</f>
        <v>200000</v>
      </c>
      <c r="AI11" s="39"/>
      <c r="AJ11" s="30" t="s">
        <v>129</v>
      </c>
    </row>
    <row r="12">
      <c r="A12" s="36">
        <v>6.0</v>
      </c>
      <c r="B12" s="36" t="s">
        <v>117</v>
      </c>
      <c r="C12" s="30" t="s">
        <v>160</v>
      </c>
      <c r="D12" s="30" t="s">
        <v>49</v>
      </c>
      <c r="E12" s="30"/>
      <c r="F12" s="30" t="s">
        <v>102</v>
      </c>
      <c r="G12" s="30" t="s">
        <v>89</v>
      </c>
      <c r="H12" s="30">
        <v>2.11525044448E11</v>
      </c>
      <c r="I12" s="30">
        <v>7.357830807E9</v>
      </c>
      <c r="J12" s="42" t="s">
        <v>162</v>
      </c>
      <c r="K12" s="42"/>
      <c r="L12" s="30">
        <v>200000.0</v>
      </c>
      <c r="M12" s="30">
        <v>180000.0</v>
      </c>
      <c r="N12" s="30">
        <v>138263.0</v>
      </c>
      <c r="O12" s="30">
        <v>180000.0</v>
      </c>
      <c r="P12" s="30">
        <f t="shared" si="1"/>
        <v>0</v>
      </c>
      <c r="Q12" s="36" t="s">
        <v>90</v>
      </c>
      <c r="R12" s="36" t="s">
        <v>71</v>
      </c>
      <c r="S12" s="36" t="s">
        <v>92</v>
      </c>
      <c r="T12" s="30" t="s">
        <v>93</v>
      </c>
      <c r="U12" s="30" t="s">
        <v>94</v>
      </c>
      <c r="V12" s="37" t="s">
        <v>95</v>
      </c>
      <c r="W12" s="30">
        <v>126000.0</v>
      </c>
      <c r="X12" s="30">
        <v>54000.0</v>
      </c>
      <c r="Y12" s="30">
        <v>0.0</v>
      </c>
      <c r="Z12" s="30">
        <v>0.0</v>
      </c>
      <c r="AA12" s="40">
        <f t="shared" si="7"/>
        <v>0</v>
      </c>
      <c r="AB12" s="40">
        <f t="shared" si="3"/>
        <v>0</v>
      </c>
      <c r="AC12" s="40">
        <f t="shared" si="6"/>
        <v>-41737</v>
      </c>
      <c r="AD12" s="40">
        <f t="shared" si="4"/>
        <v>-41737</v>
      </c>
      <c r="AE12" s="40">
        <f t="shared" si="5"/>
        <v>180000</v>
      </c>
      <c r="AF12" s="30">
        <v>0.0</v>
      </c>
      <c r="AG12" s="30"/>
      <c r="AH12" s="30">
        <v>180000.0</v>
      </c>
      <c r="AI12" s="39"/>
      <c r="AJ12" s="30" t="s">
        <v>129</v>
      </c>
    </row>
    <row r="13">
      <c r="A13" s="36">
        <v>7.0</v>
      </c>
      <c r="B13" s="36" t="s">
        <v>163</v>
      </c>
      <c r="C13" s="30" t="s">
        <v>164</v>
      </c>
      <c r="D13" s="30" t="s">
        <v>49</v>
      </c>
      <c r="E13" s="30"/>
      <c r="F13" s="30" t="s">
        <v>165</v>
      </c>
      <c r="G13" s="30" t="s">
        <v>89</v>
      </c>
      <c r="H13" s="30">
        <v>2.11525000638E11</v>
      </c>
      <c r="I13" s="30">
        <v>9.950151957E9</v>
      </c>
      <c r="J13" s="42" t="s">
        <v>166</v>
      </c>
      <c r="K13" s="42"/>
      <c r="L13" s="30">
        <v>200000.0</v>
      </c>
      <c r="M13" s="30">
        <v>177000.0</v>
      </c>
      <c r="N13" s="30">
        <v>133129.0</v>
      </c>
      <c r="O13" s="30">
        <v>189000.0</v>
      </c>
      <c r="P13" s="30">
        <f t="shared" si="1"/>
        <v>-12000</v>
      </c>
      <c r="Q13" s="36" t="s">
        <v>90</v>
      </c>
      <c r="R13" s="36" t="s">
        <v>71</v>
      </c>
      <c r="S13" s="36" t="s">
        <v>92</v>
      </c>
      <c r="T13" s="30" t="s">
        <v>93</v>
      </c>
      <c r="U13" s="30" t="s">
        <v>94</v>
      </c>
      <c r="V13" s="37" t="s">
        <v>130</v>
      </c>
      <c r="W13" s="30">
        <v>132000.0</v>
      </c>
      <c r="X13" s="30">
        <v>57000.0</v>
      </c>
      <c r="Y13" s="30">
        <v>0.0</v>
      </c>
      <c r="Z13" s="30">
        <v>-12000.0</v>
      </c>
      <c r="AA13" s="40">
        <f t="shared" si="7"/>
        <v>0</v>
      </c>
      <c r="AB13" s="40">
        <f t="shared" si="3"/>
        <v>0</v>
      </c>
      <c r="AC13" s="40">
        <f t="shared" si="6"/>
        <v>-55871</v>
      </c>
      <c r="AD13" s="40">
        <f t="shared" si="4"/>
        <v>-55871</v>
      </c>
      <c r="AE13" s="40">
        <f t="shared" si="5"/>
        <v>177000</v>
      </c>
      <c r="AF13" s="30">
        <v>0.0</v>
      </c>
      <c r="AG13" s="30">
        <v>-12000.0</v>
      </c>
      <c r="AH13" s="30">
        <f>132000+57000</f>
        <v>189000</v>
      </c>
      <c r="AI13" s="39"/>
      <c r="AJ13" s="30" t="s">
        <v>129</v>
      </c>
    </row>
    <row r="14">
      <c r="A14" s="36">
        <v>8.0</v>
      </c>
      <c r="B14" s="36" t="s">
        <v>117</v>
      </c>
      <c r="C14" s="30" t="s">
        <v>170</v>
      </c>
      <c r="D14" s="30" t="s">
        <v>49</v>
      </c>
      <c r="E14" s="30"/>
      <c r="F14" s="30" t="s">
        <v>171</v>
      </c>
      <c r="G14" s="30" t="s">
        <v>50</v>
      </c>
      <c r="H14" s="30">
        <v>2.1154301065E11</v>
      </c>
      <c r="I14" s="30">
        <v>7.976315908E9</v>
      </c>
      <c r="J14" s="42" t="s">
        <v>172</v>
      </c>
      <c r="K14" s="42"/>
      <c r="L14" s="30">
        <v>200000.0</v>
      </c>
      <c r="M14" s="30">
        <v>180000.0</v>
      </c>
      <c r="N14" s="30">
        <v>126351.0</v>
      </c>
      <c r="O14" s="30">
        <v>180000.0</v>
      </c>
      <c r="P14" s="30">
        <f t="shared" si="1"/>
        <v>0</v>
      </c>
      <c r="Q14" s="36" t="s">
        <v>90</v>
      </c>
      <c r="R14" s="36" t="s">
        <v>56</v>
      </c>
      <c r="S14" s="36" t="s">
        <v>92</v>
      </c>
      <c r="T14" s="30" t="s">
        <v>93</v>
      </c>
      <c r="U14" s="30" t="s">
        <v>94</v>
      </c>
      <c r="V14" s="37" t="s">
        <v>95</v>
      </c>
      <c r="W14" s="30">
        <v>126000.0</v>
      </c>
      <c r="X14" s="30">
        <v>54000.0</v>
      </c>
      <c r="Y14" s="30">
        <v>0.0</v>
      </c>
      <c r="Z14" s="30">
        <v>0.0</v>
      </c>
      <c r="AA14" s="40">
        <f t="shared" si="7"/>
        <v>0</v>
      </c>
      <c r="AB14" s="40">
        <f t="shared" si="3"/>
        <v>0</v>
      </c>
      <c r="AC14" s="40">
        <f t="shared" si="6"/>
        <v>-53649</v>
      </c>
      <c r="AD14" s="40">
        <f t="shared" si="4"/>
        <v>-53649</v>
      </c>
      <c r="AE14" s="40">
        <f t="shared" si="5"/>
        <v>180000</v>
      </c>
      <c r="AF14" s="30">
        <v>0.0</v>
      </c>
      <c r="AG14" s="30"/>
      <c r="AH14" s="30">
        <f>126000+54000</f>
        <v>180000</v>
      </c>
      <c r="AI14" s="39"/>
      <c r="AJ14" s="30" t="s">
        <v>129</v>
      </c>
    </row>
    <row r="15">
      <c r="A15" s="36">
        <v>9.0</v>
      </c>
      <c r="B15" s="36" t="s">
        <v>174</v>
      </c>
      <c r="C15" s="30" t="s">
        <v>175</v>
      </c>
      <c r="D15" s="30" t="s">
        <v>53</v>
      </c>
      <c r="E15" s="30"/>
      <c r="F15" s="30" t="s">
        <v>67</v>
      </c>
      <c r="G15" s="30" t="s">
        <v>68</v>
      </c>
      <c r="H15" s="30">
        <v>2.10474082857E11</v>
      </c>
      <c r="I15" s="30">
        <v>9.529962829E9</v>
      </c>
      <c r="J15" s="42" t="s">
        <v>178</v>
      </c>
      <c r="K15" s="42"/>
      <c r="L15" s="30">
        <v>240000.0</v>
      </c>
      <c r="M15" s="30">
        <v>240000.0</v>
      </c>
      <c r="N15" s="30">
        <v>211648.0</v>
      </c>
      <c r="O15" s="30">
        <v>200000.0</v>
      </c>
      <c r="P15" s="30">
        <f t="shared" si="1"/>
        <v>40000</v>
      </c>
      <c r="Q15" s="36" t="s">
        <v>90</v>
      </c>
      <c r="R15" s="36" t="s">
        <v>56</v>
      </c>
      <c r="S15" s="36" t="s">
        <v>92</v>
      </c>
      <c r="T15" s="30" t="s">
        <v>93</v>
      </c>
      <c r="U15" s="30" t="s">
        <v>94</v>
      </c>
      <c r="V15" s="30" t="s">
        <v>179</v>
      </c>
      <c r="W15" s="30">
        <v>140000.0</v>
      </c>
      <c r="X15" s="30">
        <v>60000.0</v>
      </c>
      <c r="Y15" s="30">
        <v>0.0</v>
      </c>
      <c r="Z15" s="30">
        <v>40000.0</v>
      </c>
      <c r="AA15" s="40">
        <f t="shared" si="7"/>
        <v>0</v>
      </c>
      <c r="AB15" s="40">
        <f t="shared" si="3"/>
        <v>0</v>
      </c>
      <c r="AC15" s="40">
        <f t="shared" si="6"/>
        <v>11648</v>
      </c>
      <c r="AD15" s="40">
        <f t="shared" si="4"/>
        <v>11648</v>
      </c>
      <c r="AE15" s="40">
        <f t="shared" si="5"/>
        <v>240000</v>
      </c>
      <c r="AF15" s="39"/>
      <c r="AG15" s="39"/>
      <c r="AH15" s="30">
        <v>140000.0</v>
      </c>
      <c r="AI15" s="39"/>
      <c r="AJ15" s="30" t="s">
        <v>129</v>
      </c>
    </row>
    <row r="16">
      <c r="A16" s="36">
        <v>10.0</v>
      </c>
      <c r="B16" s="36" t="s">
        <v>180</v>
      </c>
      <c r="C16" s="30" t="s">
        <v>181</v>
      </c>
      <c r="D16" s="30" t="s">
        <v>182</v>
      </c>
      <c r="E16" s="30"/>
      <c r="F16" s="30" t="s">
        <v>183</v>
      </c>
      <c r="G16" s="30" t="s">
        <v>68</v>
      </c>
      <c r="H16" s="30">
        <v>2.10474016063E11</v>
      </c>
      <c r="I16" s="30"/>
      <c r="J16" s="42"/>
      <c r="K16" s="42"/>
      <c r="L16" s="30">
        <v>170000.0</v>
      </c>
      <c r="M16" s="30">
        <v>170000.0</v>
      </c>
      <c r="N16" s="30">
        <v>137904.0</v>
      </c>
      <c r="O16" s="30">
        <v>0.0</v>
      </c>
      <c r="P16" s="30">
        <f t="shared" si="1"/>
        <v>170000</v>
      </c>
      <c r="Q16" s="36" t="s">
        <v>90</v>
      </c>
      <c r="R16" s="36" t="s">
        <v>186</v>
      </c>
      <c r="S16" s="36" t="s">
        <v>115</v>
      </c>
      <c r="T16" s="30" t="s">
        <v>93</v>
      </c>
      <c r="U16" s="30" t="s">
        <v>188</v>
      </c>
      <c r="V16" s="37" t="s">
        <v>130</v>
      </c>
      <c r="W16" s="30">
        <v>0.0</v>
      </c>
      <c r="X16" s="30">
        <v>0.0</v>
      </c>
      <c r="Y16" s="30">
        <v>100000.0</v>
      </c>
      <c r="Z16" s="30">
        <v>70000.0</v>
      </c>
      <c r="AA16" s="40">
        <f t="shared" si="7"/>
        <v>0</v>
      </c>
      <c r="AB16" s="40">
        <f t="shared" si="3"/>
        <v>0</v>
      </c>
      <c r="AC16" s="40">
        <f t="shared" si="6"/>
        <v>37904</v>
      </c>
      <c r="AD16" s="40">
        <f t="shared" si="4"/>
        <v>37904</v>
      </c>
      <c r="AE16" s="40">
        <f t="shared" si="5"/>
        <v>170000</v>
      </c>
      <c r="AF16" s="30" t="s">
        <v>189</v>
      </c>
      <c r="AG16" s="30">
        <v>50000.0</v>
      </c>
      <c r="AH16" s="39"/>
      <c r="AI16" s="39"/>
      <c r="AJ16" s="30" t="s">
        <v>129</v>
      </c>
    </row>
    <row r="17">
      <c r="A17" s="36">
        <v>11.0</v>
      </c>
      <c r="B17" s="59" t="s">
        <v>190</v>
      </c>
      <c r="C17" s="30" t="s">
        <v>191</v>
      </c>
      <c r="D17" s="59" t="s">
        <v>53</v>
      </c>
      <c r="E17" s="59"/>
      <c r="F17" s="59" t="s">
        <v>192</v>
      </c>
      <c r="G17" s="59" t="s">
        <v>193</v>
      </c>
      <c r="H17" s="59">
        <v>2.10475017194E11</v>
      </c>
      <c r="I17" s="59">
        <v>9.88727253E9</v>
      </c>
      <c r="J17" s="55" t="s">
        <v>194</v>
      </c>
      <c r="K17" s="55"/>
      <c r="L17" s="59">
        <v>240000.0</v>
      </c>
      <c r="M17" s="59">
        <v>240000.0</v>
      </c>
      <c r="N17" s="59">
        <v>209872.0</v>
      </c>
      <c r="O17" s="59">
        <v>0.0</v>
      </c>
      <c r="P17" s="59">
        <f t="shared" si="1"/>
        <v>240000</v>
      </c>
      <c r="Q17" s="15" t="s">
        <v>90</v>
      </c>
      <c r="R17" s="15" t="s">
        <v>71</v>
      </c>
      <c r="S17" s="15" t="s">
        <v>115</v>
      </c>
      <c r="T17" s="34" t="s">
        <v>93</v>
      </c>
      <c r="U17" s="59" t="s">
        <v>94</v>
      </c>
      <c r="V17" s="60" t="s">
        <v>130</v>
      </c>
      <c r="W17" s="59">
        <v>0.0</v>
      </c>
      <c r="X17" s="59">
        <v>0.0</v>
      </c>
      <c r="Y17" s="59">
        <v>100000.0</v>
      </c>
      <c r="Z17" s="59">
        <f>100000+40000</f>
        <v>140000</v>
      </c>
      <c r="AA17" s="61">
        <f t="shared" si="7"/>
        <v>0</v>
      </c>
      <c r="AB17" s="61">
        <f t="shared" si="3"/>
        <v>0</v>
      </c>
      <c r="AC17" s="40">
        <f t="shared" si="6"/>
        <v>109872</v>
      </c>
      <c r="AD17" s="61">
        <f t="shared" si="4"/>
        <v>109872</v>
      </c>
      <c r="AE17" s="61">
        <f t="shared" si="5"/>
        <v>240000</v>
      </c>
      <c r="AG17" s="59">
        <v>50000.0</v>
      </c>
      <c r="AH17" s="59">
        <v>100000.0</v>
      </c>
      <c r="AJ17" s="30" t="s">
        <v>129</v>
      </c>
    </row>
    <row r="18">
      <c r="A18" s="36">
        <v>12.0</v>
      </c>
      <c r="B18" s="59" t="s">
        <v>199</v>
      </c>
      <c r="C18" s="30" t="s">
        <v>200</v>
      </c>
      <c r="D18" s="59" t="s">
        <v>126</v>
      </c>
      <c r="E18" s="59"/>
      <c r="F18" s="59" t="s">
        <v>73</v>
      </c>
      <c r="G18" s="59" t="s">
        <v>201</v>
      </c>
      <c r="H18" s="59">
        <v>2.10413074606E11</v>
      </c>
      <c r="I18" s="59">
        <v>9.66076432E9</v>
      </c>
      <c r="J18" s="55" t="s">
        <v>202</v>
      </c>
      <c r="K18" s="55"/>
      <c r="L18" s="59">
        <v>290000.0</v>
      </c>
      <c r="M18" s="59">
        <v>290000.0</v>
      </c>
      <c r="N18" s="59">
        <v>264808.0</v>
      </c>
      <c r="O18" s="59">
        <v>0.0</v>
      </c>
      <c r="P18" s="59">
        <f t="shared" si="1"/>
        <v>290000</v>
      </c>
      <c r="Q18" s="15" t="s">
        <v>90</v>
      </c>
      <c r="R18" s="15" t="s">
        <v>71</v>
      </c>
      <c r="S18" s="15" t="s">
        <v>115</v>
      </c>
      <c r="T18" s="34" t="s">
        <v>93</v>
      </c>
      <c r="U18" s="59" t="s">
        <v>204</v>
      </c>
      <c r="V18" s="60" t="s">
        <v>130</v>
      </c>
      <c r="W18" s="59">
        <v>0.0</v>
      </c>
      <c r="X18" s="59">
        <v>0.0</v>
      </c>
      <c r="Y18" s="59">
        <v>150000.0</v>
      </c>
      <c r="Z18" s="59">
        <v>140000.0</v>
      </c>
      <c r="AA18" s="61">
        <f t="shared" si="7"/>
        <v>0</v>
      </c>
      <c r="AB18" s="61">
        <f t="shared" si="3"/>
        <v>0</v>
      </c>
      <c r="AC18" s="40">
        <f t="shared" si="6"/>
        <v>114808</v>
      </c>
      <c r="AD18" s="61">
        <f t="shared" si="4"/>
        <v>114808</v>
      </c>
      <c r="AE18" s="61">
        <f t="shared" si="5"/>
        <v>290000</v>
      </c>
      <c r="AF18" s="59">
        <v>150000.0</v>
      </c>
      <c r="AG18" s="59" t="s">
        <v>207</v>
      </c>
      <c r="AJ18" s="30" t="s">
        <v>129</v>
      </c>
    </row>
    <row r="19">
      <c r="A19" s="36">
        <v>13.0</v>
      </c>
      <c r="B19" s="30" t="s">
        <v>30</v>
      </c>
      <c r="C19" s="30" t="s">
        <v>208</v>
      </c>
      <c r="D19" s="30" t="s">
        <v>49</v>
      </c>
      <c r="E19" s="30"/>
      <c r="F19" s="30" t="s">
        <v>209</v>
      </c>
      <c r="G19" s="30" t="s">
        <v>210</v>
      </c>
      <c r="H19" s="30">
        <v>2.11541037127E11</v>
      </c>
      <c r="I19" s="30">
        <v>7.297917191E9</v>
      </c>
      <c r="J19" s="42" t="s">
        <v>211</v>
      </c>
      <c r="K19" s="42"/>
      <c r="L19" s="30">
        <v>200000.0</v>
      </c>
      <c r="M19" s="30">
        <v>190000.0</v>
      </c>
      <c r="N19" s="30">
        <v>152777.0</v>
      </c>
      <c r="O19" s="30">
        <v>180000.0</v>
      </c>
      <c r="P19" s="30">
        <f t="shared" si="1"/>
        <v>10000</v>
      </c>
      <c r="Q19" s="36" t="s">
        <v>90</v>
      </c>
      <c r="R19" s="36" t="s">
        <v>71</v>
      </c>
      <c r="S19" s="36" t="s">
        <v>92</v>
      </c>
      <c r="T19" s="30" t="s">
        <v>93</v>
      </c>
      <c r="U19" s="30" t="s">
        <v>94</v>
      </c>
      <c r="V19" s="37" t="s">
        <v>95</v>
      </c>
      <c r="W19" s="30">
        <v>110000.0</v>
      </c>
      <c r="X19" s="30">
        <v>70000.0</v>
      </c>
      <c r="Y19" s="30">
        <v>0.0</v>
      </c>
      <c r="Z19" s="30">
        <v>10000.0</v>
      </c>
      <c r="AA19" s="40">
        <f t="shared" si="7"/>
        <v>0</v>
      </c>
      <c r="AB19" s="40">
        <f t="shared" si="3"/>
        <v>0</v>
      </c>
      <c r="AC19" s="40">
        <f t="shared" si="6"/>
        <v>-27223</v>
      </c>
      <c r="AD19" s="40">
        <f t="shared" si="4"/>
        <v>-27223</v>
      </c>
      <c r="AE19" s="40">
        <f t="shared" si="5"/>
        <v>190000</v>
      </c>
      <c r="AF19" s="39"/>
      <c r="AG19" s="39"/>
      <c r="AH19" s="30">
        <f>110000+70000</f>
        <v>180000</v>
      </c>
      <c r="AI19" s="39"/>
      <c r="AJ19" s="30" t="s">
        <v>129</v>
      </c>
    </row>
    <row r="20">
      <c r="A20" s="36">
        <v>14.0</v>
      </c>
      <c r="B20" s="30" t="s">
        <v>30</v>
      </c>
      <c r="C20" s="30" t="s">
        <v>214</v>
      </c>
      <c r="D20" s="30" t="s">
        <v>49</v>
      </c>
      <c r="E20" s="30"/>
      <c r="F20" s="30" t="s">
        <v>215</v>
      </c>
      <c r="G20" s="30" t="s">
        <v>210</v>
      </c>
      <c r="H20" s="30">
        <v>2.11541035438E11</v>
      </c>
      <c r="I20" s="30">
        <v>9.887004447E9</v>
      </c>
      <c r="J20" s="42" t="s">
        <v>216</v>
      </c>
      <c r="K20" s="42"/>
      <c r="L20" s="30">
        <v>200000.0</v>
      </c>
      <c r="M20" s="30">
        <v>175000.0</v>
      </c>
      <c r="N20" s="30">
        <v>134118.0</v>
      </c>
      <c r="O20" s="30">
        <v>200000.0</v>
      </c>
      <c r="P20" s="30">
        <v>-25000.0</v>
      </c>
      <c r="Q20" s="36" t="s">
        <v>90</v>
      </c>
      <c r="R20" s="36" t="s">
        <v>71</v>
      </c>
      <c r="S20" s="36" t="s">
        <v>92</v>
      </c>
      <c r="T20" s="30" t="s">
        <v>93</v>
      </c>
      <c r="U20" s="30" t="s">
        <v>94</v>
      </c>
      <c r="V20" s="37" t="s">
        <v>95</v>
      </c>
      <c r="W20" s="30">
        <v>200000.0</v>
      </c>
      <c r="X20" s="30">
        <v>0.0</v>
      </c>
      <c r="Y20" s="30">
        <v>0.0</v>
      </c>
      <c r="Z20" s="30">
        <v>-25000.0</v>
      </c>
      <c r="AA20" s="40">
        <f t="shared" si="7"/>
        <v>0</v>
      </c>
      <c r="AB20" s="40">
        <f t="shared" si="3"/>
        <v>0</v>
      </c>
      <c r="AC20" s="40">
        <f t="shared" si="6"/>
        <v>-65882</v>
      </c>
      <c r="AD20" s="40">
        <f t="shared" si="4"/>
        <v>-65882</v>
      </c>
      <c r="AE20" s="40">
        <f t="shared" si="5"/>
        <v>175000</v>
      </c>
      <c r="AF20" s="39"/>
      <c r="AG20" s="39"/>
      <c r="AH20" s="30">
        <v>200000.0</v>
      </c>
      <c r="AI20" s="39"/>
      <c r="AJ20" s="30" t="s">
        <v>129</v>
      </c>
    </row>
    <row r="21">
      <c r="A21" s="36">
        <v>15.0</v>
      </c>
      <c r="B21" s="30" t="s">
        <v>217</v>
      </c>
      <c r="C21" s="30" t="s">
        <v>218</v>
      </c>
      <c r="D21" s="30" t="s">
        <v>49</v>
      </c>
      <c r="E21" s="30"/>
      <c r="F21" s="30" t="s">
        <v>127</v>
      </c>
      <c r="G21" s="30" t="s">
        <v>68</v>
      </c>
      <c r="H21" s="30">
        <v>2.10474083074E11</v>
      </c>
      <c r="I21" s="30">
        <v>8.387981011E9</v>
      </c>
      <c r="J21" s="42" t="s">
        <v>220</v>
      </c>
      <c r="K21" s="42"/>
      <c r="L21" s="30">
        <v>200000.0</v>
      </c>
      <c r="M21" s="30">
        <v>180000.0</v>
      </c>
      <c r="N21" s="30">
        <v>139711.0</v>
      </c>
      <c r="O21" s="30">
        <v>180000.0</v>
      </c>
      <c r="P21" s="30">
        <f t="shared" ref="P21:P32" si="8">M21-O21</f>
        <v>0</v>
      </c>
      <c r="Q21" s="36" t="s">
        <v>90</v>
      </c>
      <c r="R21" s="36" t="s">
        <v>71</v>
      </c>
      <c r="S21" s="36" t="s">
        <v>92</v>
      </c>
      <c r="T21" s="30" t="s">
        <v>93</v>
      </c>
      <c r="U21" s="30" t="s">
        <v>94</v>
      </c>
      <c r="V21" s="37" t="s">
        <v>95</v>
      </c>
      <c r="W21" s="30">
        <v>126000.0</v>
      </c>
      <c r="X21" s="30">
        <v>54000.0</v>
      </c>
      <c r="Y21" s="30">
        <v>0.0</v>
      </c>
      <c r="Z21" s="30">
        <v>0.0</v>
      </c>
      <c r="AA21" s="40">
        <f t="shared" si="7"/>
        <v>0</v>
      </c>
      <c r="AB21" s="40">
        <f t="shared" si="3"/>
        <v>0</v>
      </c>
      <c r="AC21" s="40">
        <f t="shared" si="6"/>
        <v>-40289</v>
      </c>
      <c r="AD21" s="40">
        <f t="shared" si="4"/>
        <v>-40289</v>
      </c>
      <c r="AE21" s="40">
        <f t="shared" si="5"/>
        <v>180000</v>
      </c>
      <c r="AF21" s="39"/>
      <c r="AG21" s="39"/>
      <c r="AH21" s="30">
        <f>126000+54000</f>
        <v>180000</v>
      </c>
      <c r="AI21" s="39"/>
      <c r="AJ21" s="30" t="s">
        <v>129</v>
      </c>
    </row>
    <row r="22">
      <c r="A22" s="36">
        <v>16.0</v>
      </c>
      <c r="B22" s="30" t="s">
        <v>217</v>
      </c>
      <c r="C22" s="30" t="s">
        <v>223</v>
      </c>
      <c r="D22" s="30" t="s">
        <v>49</v>
      </c>
      <c r="E22" s="30"/>
      <c r="F22" s="30" t="s">
        <v>209</v>
      </c>
      <c r="G22" s="30" t="s">
        <v>210</v>
      </c>
      <c r="H22" s="30">
        <v>2.11541030275E11</v>
      </c>
      <c r="I22" s="30">
        <v>8.290522343E9</v>
      </c>
      <c r="J22" s="30" t="s">
        <v>224</v>
      </c>
      <c r="K22" s="30"/>
      <c r="L22" s="30">
        <v>200000.0</v>
      </c>
      <c r="M22" s="30">
        <v>190000.0</v>
      </c>
      <c r="N22" s="30">
        <v>149933.0</v>
      </c>
      <c r="O22" s="30">
        <v>180000.0</v>
      </c>
      <c r="P22" s="30">
        <f t="shared" si="8"/>
        <v>10000</v>
      </c>
      <c r="Q22" s="36" t="s">
        <v>90</v>
      </c>
      <c r="R22" s="36" t="s">
        <v>71</v>
      </c>
      <c r="S22" s="36" t="s">
        <v>92</v>
      </c>
      <c r="T22" s="30" t="s">
        <v>93</v>
      </c>
      <c r="U22" s="30" t="s">
        <v>94</v>
      </c>
      <c r="V22" s="37" t="s">
        <v>95</v>
      </c>
      <c r="W22" s="30">
        <v>110000.0</v>
      </c>
      <c r="X22" s="30">
        <v>70000.0</v>
      </c>
      <c r="Y22" s="30">
        <v>0.0</v>
      </c>
      <c r="Z22" s="30">
        <v>10000.0</v>
      </c>
      <c r="AA22" s="40">
        <f t="shared" si="7"/>
        <v>0</v>
      </c>
      <c r="AB22" s="40">
        <f t="shared" si="3"/>
        <v>0</v>
      </c>
      <c r="AC22" s="40">
        <f t="shared" si="6"/>
        <v>-30067</v>
      </c>
      <c r="AD22" s="40">
        <f t="shared" si="4"/>
        <v>-30067</v>
      </c>
      <c r="AE22" s="40">
        <f t="shared" si="5"/>
        <v>190000</v>
      </c>
      <c r="AF22" s="39"/>
      <c r="AG22" s="39"/>
      <c r="AH22" s="30">
        <f>110000+70000</f>
        <v>180000</v>
      </c>
      <c r="AI22" s="39"/>
      <c r="AJ22" s="30" t="s">
        <v>129</v>
      </c>
    </row>
    <row r="23">
      <c r="A23" s="36">
        <v>17.0</v>
      </c>
      <c r="B23" s="30" t="s">
        <v>30</v>
      </c>
      <c r="C23" s="30" t="s">
        <v>228</v>
      </c>
      <c r="D23" s="30" t="s">
        <v>53</v>
      </c>
      <c r="E23" s="30"/>
      <c r="F23" s="30" t="s">
        <v>229</v>
      </c>
      <c r="G23" s="30" t="s">
        <v>229</v>
      </c>
      <c r="H23" s="30">
        <v>2.10414029914E11</v>
      </c>
      <c r="I23" s="30">
        <v>8.078658711E9</v>
      </c>
      <c r="J23" s="30" t="s">
        <v>230</v>
      </c>
      <c r="K23" s="30"/>
      <c r="L23" s="30">
        <v>250000.0</v>
      </c>
      <c r="M23" s="30">
        <v>250000.0</v>
      </c>
      <c r="N23" s="30">
        <v>213478.0</v>
      </c>
      <c r="O23" s="30">
        <v>200000.0</v>
      </c>
      <c r="P23" s="30">
        <f t="shared" si="8"/>
        <v>50000</v>
      </c>
      <c r="Q23" s="36" t="s">
        <v>90</v>
      </c>
      <c r="R23" s="36" t="s">
        <v>71</v>
      </c>
      <c r="S23" s="36" t="s">
        <v>92</v>
      </c>
      <c r="T23" s="30" t="s">
        <v>93</v>
      </c>
      <c r="U23" s="30" t="s">
        <v>94</v>
      </c>
      <c r="V23" s="37" t="s">
        <v>95</v>
      </c>
      <c r="W23" s="30">
        <v>140000.0</v>
      </c>
      <c r="X23" s="30">
        <v>60000.0</v>
      </c>
      <c r="Y23" s="30">
        <v>0.0</v>
      </c>
      <c r="Z23" s="30">
        <v>50000.0</v>
      </c>
      <c r="AA23" s="40">
        <f t="shared" si="7"/>
        <v>0</v>
      </c>
      <c r="AB23" s="40">
        <f t="shared" si="3"/>
        <v>0</v>
      </c>
      <c r="AC23" s="40">
        <f t="shared" si="6"/>
        <v>13478</v>
      </c>
      <c r="AD23" s="40">
        <f t="shared" si="4"/>
        <v>13478</v>
      </c>
      <c r="AE23" s="40">
        <f t="shared" si="5"/>
        <v>250000</v>
      </c>
      <c r="AF23" s="39"/>
      <c r="AG23" s="39"/>
      <c r="AH23" s="30">
        <f>140000+60000</f>
        <v>200000</v>
      </c>
      <c r="AI23" s="39"/>
      <c r="AJ23" s="30" t="s">
        <v>129</v>
      </c>
    </row>
    <row r="24">
      <c r="A24" s="36">
        <v>18.0</v>
      </c>
      <c r="B24" s="36" t="s">
        <v>234</v>
      </c>
      <c r="C24" s="30" t="s">
        <v>235</v>
      </c>
      <c r="D24" s="30" t="s">
        <v>53</v>
      </c>
      <c r="E24" s="30"/>
      <c r="F24" s="30" t="s">
        <v>67</v>
      </c>
      <c r="G24" s="30" t="s">
        <v>68</v>
      </c>
      <c r="H24" s="30">
        <v>2.10474082858E11</v>
      </c>
      <c r="I24" s="30">
        <v>7.742278359E9</v>
      </c>
      <c r="J24" s="42" t="s">
        <v>236</v>
      </c>
      <c r="K24" s="42"/>
      <c r="L24" s="30">
        <v>250000.0</v>
      </c>
      <c r="M24" s="30">
        <v>250000.0</v>
      </c>
      <c r="N24" s="30">
        <v>237151.0</v>
      </c>
      <c r="O24" s="30">
        <v>200000.0</v>
      </c>
      <c r="P24" s="30">
        <f t="shared" si="8"/>
        <v>50000</v>
      </c>
      <c r="Q24" s="36" t="s">
        <v>90</v>
      </c>
      <c r="R24" s="36" t="s">
        <v>56</v>
      </c>
      <c r="S24" s="36" t="s">
        <v>92</v>
      </c>
      <c r="T24" s="30" t="s">
        <v>93</v>
      </c>
      <c r="U24" s="30" t="s">
        <v>204</v>
      </c>
      <c r="V24" s="37" t="s">
        <v>237</v>
      </c>
      <c r="W24" s="30">
        <v>140000.0</v>
      </c>
      <c r="X24" s="30">
        <v>60000.0</v>
      </c>
      <c r="Y24" s="30">
        <v>0.0</v>
      </c>
      <c r="Z24" s="30">
        <v>50000.0</v>
      </c>
      <c r="AA24" s="40">
        <f t="shared" si="7"/>
        <v>0</v>
      </c>
      <c r="AB24" s="40">
        <f t="shared" si="3"/>
        <v>0</v>
      </c>
      <c r="AC24" s="40">
        <f t="shared" si="6"/>
        <v>37151</v>
      </c>
      <c r="AD24" s="40">
        <f t="shared" si="4"/>
        <v>37151</v>
      </c>
      <c r="AE24" s="40">
        <f t="shared" si="5"/>
        <v>250000</v>
      </c>
      <c r="AF24" s="39"/>
      <c r="AG24" s="39"/>
      <c r="AH24" s="30">
        <v>140000.0</v>
      </c>
      <c r="AI24" s="39"/>
      <c r="AJ24" s="30" t="s">
        <v>129</v>
      </c>
    </row>
    <row r="25">
      <c r="A25" s="36">
        <v>19.0</v>
      </c>
      <c r="B25" s="30" t="s">
        <v>30</v>
      </c>
      <c r="C25" s="30" t="s">
        <v>240</v>
      </c>
      <c r="D25" s="30" t="s">
        <v>126</v>
      </c>
      <c r="E25" s="30"/>
      <c r="F25" s="30" t="s">
        <v>68</v>
      </c>
      <c r="G25" s="30" t="s">
        <v>99</v>
      </c>
      <c r="H25" s="30">
        <v>2.10475019653E11</v>
      </c>
      <c r="I25" s="30">
        <v>7.891532239E9</v>
      </c>
      <c r="J25" s="33" t="s">
        <v>245</v>
      </c>
      <c r="K25" s="30"/>
      <c r="L25" s="30">
        <v>300000.0</v>
      </c>
      <c r="M25" s="30">
        <v>300000.0</v>
      </c>
      <c r="N25" s="30">
        <v>283340.0</v>
      </c>
      <c r="O25" s="30">
        <v>198000.0</v>
      </c>
      <c r="P25" s="30">
        <f t="shared" si="8"/>
        <v>102000</v>
      </c>
      <c r="Q25" s="36" t="s">
        <v>90</v>
      </c>
      <c r="R25" s="36" t="s">
        <v>71</v>
      </c>
      <c r="S25" s="36" t="s">
        <v>92</v>
      </c>
      <c r="T25" s="30" t="s">
        <v>93</v>
      </c>
      <c r="U25" s="30" t="s">
        <v>204</v>
      </c>
      <c r="V25" s="37" t="s">
        <v>95</v>
      </c>
      <c r="W25" s="30">
        <v>138000.0</v>
      </c>
      <c r="X25" s="30">
        <v>60000.0</v>
      </c>
      <c r="Y25" s="30">
        <v>0.0</v>
      </c>
      <c r="Z25" s="30">
        <v>82000.0</v>
      </c>
      <c r="AA25" s="40">
        <f t="shared" si="7"/>
        <v>20000</v>
      </c>
      <c r="AB25" s="40">
        <f t="shared" si="3"/>
        <v>0</v>
      </c>
      <c r="AC25" s="40">
        <f t="shared" si="6"/>
        <v>85340</v>
      </c>
      <c r="AD25" s="40">
        <f t="shared" si="4"/>
        <v>85340</v>
      </c>
      <c r="AE25" s="40">
        <f t="shared" si="5"/>
        <v>280000</v>
      </c>
      <c r="AF25" s="39"/>
      <c r="AG25" s="30">
        <v>50000.0</v>
      </c>
      <c r="AH25" s="30">
        <v>200000.0</v>
      </c>
      <c r="AI25" s="39"/>
      <c r="AJ25" s="30" t="s">
        <v>129</v>
      </c>
    </row>
    <row r="26">
      <c r="A26" s="36">
        <v>20.0</v>
      </c>
      <c r="B26" s="30" t="s">
        <v>30</v>
      </c>
      <c r="C26" s="30" t="s">
        <v>250</v>
      </c>
      <c r="D26" s="30" t="s">
        <v>251</v>
      </c>
      <c r="E26" s="30"/>
      <c r="F26" s="30" t="s">
        <v>229</v>
      </c>
      <c r="G26" s="30" t="s">
        <v>252</v>
      </c>
      <c r="H26" s="30">
        <v>2.10475019743E11</v>
      </c>
      <c r="I26" s="30">
        <v>9.269007346E9</v>
      </c>
      <c r="J26" s="30" t="s">
        <v>253</v>
      </c>
      <c r="K26" s="30"/>
      <c r="L26" s="30">
        <v>250000.0</v>
      </c>
      <c r="M26" s="30">
        <v>250000.0</v>
      </c>
      <c r="N26" s="30">
        <v>216632.0</v>
      </c>
      <c r="O26" s="30">
        <v>198000.0</v>
      </c>
      <c r="P26" s="30">
        <f t="shared" si="8"/>
        <v>52000</v>
      </c>
      <c r="Q26" s="36" t="s">
        <v>90</v>
      </c>
      <c r="R26" s="36" t="s">
        <v>71</v>
      </c>
      <c r="S26" s="36" t="s">
        <v>92</v>
      </c>
      <c r="T26" s="30" t="s">
        <v>93</v>
      </c>
      <c r="U26" s="30" t="s">
        <v>204</v>
      </c>
      <c r="V26" s="37" t="s">
        <v>95</v>
      </c>
      <c r="W26" s="30">
        <v>138000.0</v>
      </c>
      <c r="X26" s="30">
        <v>60000.0</v>
      </c>
      <c r="Y26" s="30">
        <v>0.0</v>
      </c>
      <c r="Z26" s="30">
        <f>52000</f>
        <v>52000</v>
      </c>
      <c r="AA26" s="40">
        <f t="shared" si="7"/>
        <v>0</v>
      </c>
      <c r="AB26" s="40">
        <f t="shared" si="3"/>
        <v>0</v>
      </c>
      <c r="AC26" s="40">
        <f t="shared" si="6"/>
        <v>18632</v>
      </c>
      <c r="AD26" s="40">
        <f t="shared" si="4"/>
        <v>18632</v>
      </c>
      <c r="AE26" s="40">
        <f t="shared" si="5"/>
        <v>250000</v>
      </c>
      <c r="AF26" s="62"/>
      <c r="AG26" s="62"/>
      <c r="AH26" s="63">
        <v>200000.0</v>
      </c>
      <c r="AI26" s="62"/>
      <c r="AJ26" s="30" t="s">
        <v>129</v>
      </c>
    </row>
    <row r="27">
      <c r="A27" s="36">
        <v>21.0</v>
      </c>
      <c r="B27" s="30" t="s">
        <v>259</v>
      </c>
      <c r="C27" s="30" t="s">
        <v>260</v>
      </c>
      <c r="D27" s="30" t="s">
        <v>49</v>
      </c>
      <c r="E27" s="30"/>
      <c r="F27" s="30" t="s">
        <v>85</v>
      </c>
      <c r="G27" s="30" t="s">
        <v>68</v>
      </c>
      <c r="H27" s="30">
        <v>2.10474001838E11</v>
      </c>
      <c r="I27" s="30">
        <v>9.928664282E9</v>
      </c>
      <c r="J27" s="30" t="s">
        <v>261</v>
      </c>
      <c r="K27" s="30"/>
      <c r="L27" s="30">
        <v>200000.0</v>
      </c>
      <c r="M27" s="30">
        <v>180000.0</v>
      </c>
      <c r="N27" s="30">
        <v>146358.0</v>
      </c>
      <c r="O27" s="30">
        <v>180000.0</v>
      </c>
      <c r="P27" s="30">
        <f t="shared" si="8"/>
        <v>0</v>
      </c>
      <c r="Q27" s="36" t="s">
        <v>90</v>
      </c>
      <c r="R27" s="36" t="s">
        <v>71</v>
      </c>
      <c r="S27" s="36" t="s">
        <v>92</v>
      </c>
      <c r="T27" s="30" t="s">
        <v>93</v>
      </c>
      <c r="U27" s="30" t="s">
        <v>204</v>
      </c>
      <c r="V27" s="37" t="s">
        <v>95</v>
      </c>
      <c r="W27" s="30">
        <v>126000.0</v>
      </c>
      <c r="X27" s="30">
        <v>54000.0</v>
      </c>
      <c r="Y27" s="30">
        <v>0.0</v>
      </c>
      <c r="Z27" s="30">
        <v>0.0</v>
      </c>
      <c r="AA27" s="40">
        <f t="shared" si="7"/>
        <v>0</v>
      </c>
      <c r="AB27" s="40">
        <f t="shared" si="3"/>
        <v>0</v>
      </c>
      <c r="AC27" s="40">
        <f t="shared" si="6"/>
        <v>-33642</v>
      </c>
      <c r="AD27" s="40">
        <f t="shared" si="4"/>
        <v>-33642</v>
      </c>
      <c r="AE27" s="40">
        <f t="shared" si="5"/>
        <v>180000</v>
      </c>
      <c r="AF27" s="39"/>
      <c r="AG27" s="39"/>
      <c r="AH27" s="30">
        <v>126000.0</v>
      </c>
      <c r="AI27" s="39"/>
      <c r="AJ27" s="30" t="s">
        <v>129</v>
      </c>
    </row>
    <row r="28">
      <c r="A28" s="36">
        <v>22.0</v>
      </c>
      <c r="C28" s="59" t="s">
        <v>268</v>
      </c>
      <c r="D28" s="59" t="s">
        <v>182</v>
      </c>
      <c r="E28" s="59"/>
      <c r="F28" s="59" t="s">
        <v>127</v>
      </c>
      <c r="G28" s="59" t="s">
        <v>68</v>
      </c>
      <c r="H28" s="59">
        <v>2.10474090934E11</v>
      </c>
      <c r="I28" s="59">
        <v>9.116868974E9</v>
      </c>
      <c r="J28" s="59" t="s">
        <v>269</v>
      </c>
      <c r="K28" s="59"/>
      <c r="L28" s="59">
        <v>380000.0</v>
      </c>
      <c r="M28" s="59">
        <v>370000.0</v>
      </c>
      <c r="N28" s="59">
        <v>0.0</v>
      </c>
      <c r="O28" s="59">
        <v>370000.0</v>
      </c>
      <c r="P28" s="59">
        <f t="shared" si="8"/>
        <v>0</v>
      </c>
      <c r="Q28" s="15" t="s">
        <v>55</v>
      </c>
      <c r="R28" s="15" t="s">
        <v>71</v>
      </c>
      <c r="S28" s="15" t="s">
        <v>60</v>
      </c>
      <c r="U28" s="59" t="s">
        <v>63</v>
      </c>
      <c r="V28" s="60" t="s">
        <v>237</v>
      </c>
      <c r="W28" s="59">
        <v>291780.0</v>
      </c>
      <c r="X28" s="59">
        <v>0.0</v>
      </c>
      <c r="Y28" s="59">
        <v>0.0</v>
      </c>
      <c r="Z28" s="59">
        <v>0.0</v>
      </c>
      <c r="AA28" s="61">
        <f t="shared" si="7"/>
        <v>0</v>
      </c>
      <c r="AB28" s="61">
        <f t="shared" si="3"/>
        <v>78220</v>
      </c>
      <c r="AC28" s="40">
        <f t="shared" si="6"/>
        <v>-370000</v>
      </c>
      <c r="AD28" s="61">
        <f t="shared" si="4"/>
        <v>-291780</v>
      </c>
      <c r="AE28" s="61">
        <f t="shared" si="5"/>
        <v>291780</v>
      </c>
      <c r="AH28" s="59">
        <v>291780.0</v>
      </c>
      <c r="AJ28" s="30" t="s">
        <v>129</v>
      </c>
    </row>
    <row r="29">
      <c r="A29" s="64">
        <v>23.0</v>
      </c>
      <c r="B29" s="62"/>
      <c r="C29" s="63" t="s">
        <v>273</v>
      </c>
      <c r="D29" s="63" t="s">
        <v>274</v>
      </c>
      <c r="E29" s="65" t="s">
        <v>72</v>
      </c>
      <c r="F29" s="66" t="s">
        <v>275</v>
      </c>
      <c r="G29" s="66" t="s">
        <v>74</v>
      </c>
      <c r="H29" s="67">
        <v>2.10416044899E11</v>
      </c>
      <c r="I29" s="67">
        <v>9.314185905E9</v>
      </c>
      <c r="J29" s="66" t="s">
        <v>276</v>
      </c>
      <c r="K29" s="62"/>
      <c r="L29" s="63">
        <v>560000.0</v>
      </c>
      <c r="M29" s="63">
        <v>560000.0</v>
      </c>
      <c r="N29" s="63">
        <v>88373.0</v>
      </c>
      <c r="O29" s="62"/>
      <c r="P29" s="63">
        <f t="shared" si="8"/>
        <v>560000</v>
      </c>
      <c r="Q29" s="64" t="s">
        <v>55</v>
      </c>
      <c r="R29" s="64" t="s">
        <v>71</v>
      </c>
      <c r="S29" s="64" t="s">
        <v>60</v>
      </c>
      <c r="T29" s="63" t="s">
        <v>277</v>
      </c>
      <c r="U29" s="63" t="s">
        <v>63</v>
      </c>
      <c r="V29" s="63" t="s">
        <v>278</v>
      </c>
      <c r="W29" s="63">
        <v>0.0</v>
      </c>
      <c r="X29" s="63">
        <v>0.0</v>
      </c>
      <c r="Y29" s="63">
        <v>0.0</v>
      </c>
      <c r="Z29" s="63">
        <f>250000+200000</f>
        <v>450000</v>
      </c>
      <c r="AA29" s="68">
        <f t="shared" si="7"/>
        <v>110000</v>
      </c>
      <c r="AB29" s="68">
        <f t="shared" si="3"/>
        <v>0</v>
      </c>
      <c r="AC29" s="68">
        <f t="shared" si="6"/>
        <v>88373</v>
      </c>
      <c r="AD29" s="68">
        <f t="shared" si="4"/>
        <v>88373</v>
      </c>
      <c r="AE29" s="68">
        <f t="shared" si="5"/>
        <v>450000</v>
      </c>
      <c r="AF29" s="62"/>
      <c r="AG29" s="63">
        <v>50000.0</v>
      </c>
      <c r="AH29" s="62"/>
      <c r="AI29" s="62"/>
      <c r="AJ29" s="63" t="s">
        <v>286</v>
      </c>
    </row>
    <row r="30">
      <c r="A30" s="64">
        <v>24.0</v>
      </c>
      <c r="B30" s="62"/>
      <c r="C30" s="63" t="s">
        <v>287</v>
      </c>
      <c r="D30" s="63" t="s">
        <v>271</v>
      </c>
      <c r="E30" s="63"/>
      <c r="F30" s="63" t="s">
        <v>265</v>
      </c>
      <c r="G30" s="62"/>
      <c r="H30" s="62"/>
      <c r="I30" s="62"/>
      <c r="J30" s="62"/>
      <c r="K30" s="62"/>
      <c r="L30" s="62"/>
      <c r="M30" s="63">
        <v>0.0</v>
      </c>
      <c r="N30" s="63">
        <v>307402.0</v>
      </c>
      <c r="O30" s="63">
        <v>0.0</v>
      </c>
      <c r="P30" s="63">
        <f t="shared" si="8"/>
        <v>0</v>
      </c>
      <c r="Q30" s="69" t="s">
        <v>57</v>
      </c>
      <c r="R30" s="69" t="s">
        <v>56</v>
      </c>
      <c r="S30" s="69" t="s">
        <v>60</v>
      </c>
      <c r="T30" s="63" t="s">
        <v>93</v>
      </c>
      <c r="U30" s="66" t="s">
        <v>63</v>
      </c>
      <c r="V30" s="66" t="s">
        <v>278</v>
      </c>
      <c r="W30" s="63">
        <v>0.0</v>
      </c>
      <c r="X30" s="63">
        <v>0.0</v>
      </c>
      <c r="Y30" s="63">
        <v>0.0</v>
      </c>
      <c r="Z30" s="63">
        <v>0.0</v>
      </c>
      <c r="AA30" s="68">
        <f t="shared" si="7"/>
        <v>0</v>
      </c>
      <c r="AB30" s="68">
        <f t="shared" si="3"/>
        <v>0</v>
      </c>
      <c r="AC30" s="68">
        <f t="shared" si="6"/>
        <v>307402</v>
      </c>
      <c r="AD30" s="68">
        <f t="shared" si="4"/>
        <v>307402</v>
      </c>
      <c r="AE30" s="68">
        <f t="shared" si="5"/>
        <v>0</v>
      </c>
      <c r="AF30" s="62"/>
      <c r="AG30" s="62"/>
      <c r="AH30" s="62"/>
      <c r="AI30" s="62"/>
      <c r="AJ30" s="63" t="s">
        <v>288</v>
      </c>
    </row>
    <row r="31">
      <c r="A31" s="64">
        <v>25.0</v>
      </c>
      <c r="B31" s="62"/>
      <c r="C31" s="63" t="s">
        <v>290</v>
      </c>
      <c r="D31" s="63" t="s">
        <v>49</v>
      </c>
      <c r="E31" s="62"/>
      <c r="F31" s="62"/>
      <c r="G31" s="62"/>
      <c r="H31" s="62"/>
      <c r="I31" s="62"/>
      <c r="J31" s="62"/>
      <c r="K31" s="62"/>
      <c r="L31" s="62"/>
      <c r="M31" s="63">
        <v>0.0</v>
      </c>
      <c r="N31" s="63">
        <v>158770.0</v>
      </c>
      <c r="O31" s="63">
        <v>0.0</v>
      </c>
      <c r="P31" s="63">
        <f t="shared" si="8"/>
        <v>0</v>
      </c>
      <c r="Q31" s="70"/>
      <c r="R31" s="70"/>
      <c r="S31" s="70"/>
      <c r="T31" s="63" t="s">
        <v>93</v>
      </c>
      <c r="U31" s="71"/>
      <c r="V31" s="66"/>
      <c r="W31" s="63">
        <v>0.0</v>
      </c>
      <c r="X31" s="63">
        <v>0.0</v>
      </c>
      <c r="Y31" s="63">
        <v>0.0</v>
      </c>
      <c r="Z31" s="63">
        <v>0.0</v>
      </c>
      <c r="AA31" s="68">
        <f t="shared" si="7"/>
        <v>0</v>
      </c>
      <c r="AB31" s="68">
        <f t="shared" si="3"/>
        <v>0</v>
      </c>
      <c r="AC31" s="68">
        <f t="shared" si="6"/>
        <v>158770</v>
      </c>
      <c r="AD31" s="68">
        <f t="shared" si="4"/>
        <v>158770</v>
      </c>
      <c r="AE31" s="68">
        <f t="shared" si="5"/>
        <v>0</v>
      </c>
      <c r="AF31" s="62"/>
      <c r="AG31" s="62"/>
      <c r="AH31" s="62"/>
      <c r="AI31" s="62"/>
      <c r="AJ31" s="63" t="s">
        <v>129</v>
      </c>
    </row>
    <row r="32">
      <c r="A32" s="64">
        <v>26.0</v>
      </c>
      <c r="B32" s="62"/>
      <c r="C32" s="63" t="s">
        <v>294</v>
      </c>
      <c r="D32" s="63" t="s">
        <v>49</v>
      </c>
      <c r="E32" s="62"/>
      <c r="F32" s="62"/>
      <c r="G32" s="62"/>
      <c r="H32" s="62"/>
      <c r="I32" s="62"/>
      <c r="J32" s="62"/>
      <c r="K32" s="62"/>
      <c r="L32" s="62"/>
      <c r="M32" s="63">
        <v>0.0</v>
      </c>
      <c r="N32" s="63">
        <v>159670.0</v>
      </c>
      <c r="O32" s="63">
        <v>0.0</v>
      </c>
      <c r="P32" s="63">
        <f t="shared" si="8"/>
        <v>0</v>
      </c>
      <c r="Q32" s="69"/>
      <c r="R32" s="70"/>
      <c r="S32" s="69"/>
      <c r="T32" s="63" t="s">
        <v>93</v>
      </c>
      <c r="U32" s="66"/>
      <c r="V32" s="66"/>
      <c r="W32" s="63">
        <v>0.0</v>
      </c>
      <c r="X32" s="63">
        <v>0.0</v>
      </c>
      <c r="Y32" s="63">
        <v>0.0</v>
      </c>
      <c r="Z32" s="63">
        <v>0.0</v>
      </c>
      <c r="AA32" s="68">
        <f t="shared" si="7"/>
        <v>0</v>
      </c>
      <c r="AB32" s="68">
        <f t="shared" si="3"/>
        <v>0</v>
      </c>
      <c r="AC32" s="68">
        <f t="shared" si="6"/>
        <v>159670</v>
      </c>
      <c r="AD32" s="68">
        <f t="shared" si="4"/>
        <v>159670</v>
      </c>
      <c r="AE32" s="68">
        <f t="shared" si="5"/>
        <v>0</v>
      </c>
      <c r="AF32" s="62"/>
      <c r="AG32" s="62"/>
      <c r="AH32" s="62"/>
      <c r="AI32" s="62"/>
      <c r="AJ32" s="63" t="s">
        <v>129</v>
      </c>
    </row>
    <row r="33">
      <c r="A33" s="15"/>
      <c r="I33" s="51"/>
      <c r="J33" s="15"/>
      <c r="K33" s="15"/>
      <c r="Q33" s="72"/>
      <c r="R33" s="73"/>
      <c r="S33" s="72"/>
      <c r="T33" s="50"/>
      <c r="U33" s="50"/>
      <c r="V33" s="50"/>
      <c r="AA33" s="61"/>
      <c r="AB33" s="61"/>
      <c r="AC33" s="61"/>
      <c r="AD33" s="61"/>
      <c r="AE33" s="61"/>
    </row>
    <row r="34">
      <c r="A34" s="15"/>
      <c r="C34" s="34"/>
      <c r="I34" s="51"/>
      <c r="J34" s="15"/>
      <c r="K34" s="15"/>
      <c r="Q34" s="15"/>
      <c r="R34" s="15"/>
      <c r="S34" s="15"/>
      <c r="AA34" s="61"/>
      <c r="AB34" s="61"/>
      <c r="AC34" s="61"/>
      <c r="AD34" s="61"/>
      <c r="AE34" s="61"/>
    </row>
    <row r="35">
      <c r="A35" s="15"/>
      <c r="Q35" s="72"/>
      <c r="R35" s="73"/>
      <c r="S35" s="73"/>
      <c r="T35" s="50"/>
      <c r="U35" s="50"/>
      <c r="V35" s="74"/>
      <c r="AA35" s="61"/>
      <c r="AB35" s="61"/>
      <c r="AC35" s="61"/>
      <c r="AD35" s="61"/>
      <c r="AE35" s="61"/>
    </row>
    <row r="36">
      <c r="A36" s="15"/>
      <c r="Q36" s="72"/>
      <c r="R36" s="73"/>
      <c r="S36" s="72"/>
      <c r="T36" s="50"/>
      <c r="U36" s="74"/>
      <c r="V36" s="50"/>
      <c r="AA36" s="61"/>
      <c r="AB36" s="61"/>
      <c r="AC36" s="61"/>
      <c r="AD36" s="61"/>
      <c r="AE36" s="61"/>
    </row>
    <row r="37">
      <c r="Q37" s="72"/>
      <c r="R37" s="72"/>
      <c r="S37" s="72"/>
      <c r="T37" s="50"/>
      <c r="U37" s="74"/>
      <c r="V37" s="50"/>
      <c r="AA37" s="61"/>
      <c r="AB37" s="61"/>
      <c r="AC37" s="61"/>
      <c r="AD37" s="61"/>
      <c r="AE37" s="61"/>
    </row>
    <row r="38">
      <c r="A38" s="15"/>
      <c r="G38" s="15"/>
      <c r="H38" s="51"/>
      <c r="I38" s="51"/>
      <c r="J38" s="15"/>
      <c r="K38" s="15"/>
      <c r="Q38" s="15"/>
      <c r="R38" s="15"/>
      <c r="S38" s="15"/>
      <c r="AA38" s="61"/>
      <c r="AB38" s="61"/>
      <c r="AC38" s="61"/>
      <c r="AD38" s="61"/>
      <c r="AE38" s="61"/>
    </row>
    <row r="39">
      <c r="Q39" s="72"/>
      <c r="R39" s="72"/>
      <c r="S39" s="73"/>
      <c r="T39" s="50"/>
      <c r="U39" s="74"/>
      <c r="V39" s="50"/>
      <c r="AA39" s="61"/>
      <c r="AB39" s="61"/>
      <c r="AC39" s="61"/>
      <c r="AD39" s="61"/>
      <c r="AE39" s="61"/>
    </row>
    <row r="40">
      <c r="Q40" s="73"/>
      <c r="R40" s="73"/>
      <c r="S40" s="73"/>
      <c r="T40" s="50"/>
      <c r="U40" s="50"/>
      <c r="V40" s="50"/>
    </row>
  </sheetData>
  <conditionalFormatting sqref="AJ1:AJ998">
    <cfRule type="cellIs" dxfId="0" priority="1" operator="equal">
      <formula>"Done"</formula>
    </cfRule>
  </conditionalFormatting>
  <dataValidations>
    <dataValidation type="list" allowBlank="1" showErrorMessage="1" sqref="T2:T27 T29:T32">
      <formula1>"Work Not Started Yet,Measrument Done,Material &amp; Team Reached,Structure Work,Panel,Inverter pending,Project On Hold,I&amp;C Completed"</formula1>
    </dataValidation>
    <dataValidation type="list" allowBlank="1" showErrorMessage="1" sqref="V15 V29:V30">
      <formula1>"Cash to mahi,1st installment,2nd installment,pending"</formula1>
    </dataValidation>
    <dataValidation type="list" allowBlank="1" showErrorMessage="1" sqref="Q2:Q30">
      <formula1>"Doc Recieved,File login,COMPLET"</formula1>
    </dataValidation>
    <dataValidation type="list" allowBlank="1" showErrorMessage="1" sqref="S2:S30">
      <formula1>"Loan apply,File prepare,File into bank,Loan approved,Loan Rejected,CASH FILE"</formula1>
    </dataValidation>
    <dataValidation type="list" allowBlank="1" showErrorMessage="1" sqref="U2:U30">
      <formula1>"Pending,Meter &amp; File submit DISCOM,Net Metering,Subsidy apply with site photo,Subsidy granted"</formula1>
    </dataValidation>
    <dataValidation type="list" allowBlank="1" showErrorMessage="1" sqref="V2:V14 V16:V28">
      <formula1>"Cash To Mahi,1st Installment Received,2ns Installment Received,Payment Not Received Yet,Payment Due"</formula1>
    </dataValidation>
    <dataValidation type="list" allowBlank="1" showErrorMessage="1" sqref="R2:R30">
      <formula1>"Center (78K),Both (78 + 17),WITH OUT SUBSIDY"</formula1>
    </dataValidation>
  </dataValidations>
  <hyperlinks>
    <hyperlink r:id="rId1" ref="H1"/>
    <hyperlink r:id="rId2" ref="J25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  <pageSetUpPr fitToPage="1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3.5"/>
    <col customWidth="1" min="2" max="2" width="11.38"/>
    <col customWidth="1" min="3" max="3" width="19.88"/>
    <col customWidth="1" min="4" max="4" width="4.63"/>
    <col customWidth="1" min="5" max="5" width="4.25"/>
    <col customWidth="1" min="6" max="6" width="17.5"/>
    <col customWidth="1" min="7" max="7" width="9.13"/>
    <col customWidth="1" min="8" max="8" width="12.13"/>
    <col customWidth="1" min="9" max="9" width="10.25"/>
    <col customWidth="1" min="10" max="10" width="25.75"/>
    <col customWidth="1" min="11" max="11" width="27.13"/>
    <col customWidth="1" min="12" max="12" width="9.25"/>
    <col customWidth="1" min="13" max="13" width="10.25"/>
    <col customWidth="1" min="14" max="14" width="7.88"/>
    <col customWidth="1" min="15" max="15" width="6.5"/>
    <col customWidth="1" min="16" max="16" width="5.63"/>
    <col customWidth="1" min="17" max="17" width="13.25"/>
    <col customWidth="1" min="18" max="18" width="16.5"/>
    <col customWidth="1" min="19" max="19" width="17.0"/>
    <col customWidth="1" min="20" max="20" width="17.13"/>
    <col customWidth="1" min="21" max="21" width="17.88"/>
    <col customWidth="1" min="22" max="22" width="24.5"/>
    <col customWidth="1" min="23" max="23" width="16.13"/>
    <col customWidth="1" min="24" max="24" width="16.38"/>
    <col customWidth="1" min="25" max="25" width="12.5"/>
    <col customWidth="1" min="26" max="26" width="22.0"/>
    <col customWidth="1" min="27" max="27" width="21.5"/>
    <col customWidth="1" min="28" max="28" width="9.75"/>
    <col customWidth="1" min="29" max="29" width="16.5"/>
    <col customWidth="1" min="30" max="30" width="15.13"/>
    <col customWidth="1" min="31" max="31" width="23.13"/>
    <col customWidth="1" min="32" max="32" width="22.5"/>
    <col customWidth="1" min="33" max="33" width="11.38"/>
    <col customWidth="1" min="34" max="34" width="7.13"/>
    <col customWidth="1" min="35" max="35" width="4.63"/>
    <col customWidth="1" min="36" max="37" width="13.38"/>
    <col customWidth="1" min="38" max="38" width="5.63"/>
    <col customWidth="1" min="39" max="39" width="13.38"/>
    <col customWidth="1" min="40" max="42" width="7.38"/>
    <col customWidth="1" min="43" max="43" width="5.38"/>
    <col customWidth="1" min="44" max="44" width="6.13"/>
    <col customWidth="1" min="45" max="45" width="4.63"/>
    <col customWidth="1" min="46" max="46" width="12.88"/>
    <col customWidth="1" min="47" max="47" width="10.38"/>
    <col customWidth="1" min="48" max="48" width="6.13"/>
    <col customWidth="1" min="49" max="76" width="7.38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6" t="s">
        <v>10</v>
      </c>
      <c r="I1" s="3" t="s">
        <v>9</v>
      </c>
      <c r="J1" s="3" t="s">
        <v>11</v>
      </c>
      <c r="K1" s="3" t="s">
        <v>12</v>
      </c>
      <c r="L1" s="3" t="s">
        <v>13</v>
      </c>
      <c r="M1" s="3" t="s">
        <v>21</v>
      </c>
      <c r="N1" s="3" t="s">
        <v>23</v>
      </c>
      <c r="O1" s="3" t="s">
        <v>15</v>
      </c>
      <c r="P1" s="3" t="s">
        <v>26</v>
      </c>
      <c r="Q1" s="9" t="s">
        <v>28</v>
      </c>
      <c r="R1" s="9" t="s">
        <v>30</v>
      </c>
      <c r="S1" s="9" t="s">
        <v>32</v>
      </c>
      <c r="T1" s="9" t="s">
        <v>34</v>
      </c>
      <c r="U1" s="9" t="s">
        <v>22</v>
      </c>
      <c r="V1" s="9" t="s">
        <v>37</v>
      </c>
      <c r="W1" s="10" t="s">
        <v>25</v>
      </c>
      <c r="X1" s="10" t="s">
        <v>27</v>
      </c>
      <c r="Y1" s="10" t="s">
        <v>29</v>
      </c>
      <c r="Z1" s="10" t="s">
        <v>42</v>
      </c>
      <c r="AA1" s="10" t="s">
        <v>33</v>
      </c>
      <c r="AB1" s="10" t="s">
        <v>43</v>
      </c>
      <c r="AC1" s="10" t="s">
        <v>44</v>
      </c>
      <c r="AD1" s="10" t="s">
        <v>35</v>
      </c>
      <c r="AE1" s="10" t="s">
        <v>45</v>
      </c>
      <c r="AF1" s="8" t="s">
        <v>39</v>
      </c>
      <c r="AG1" s="8" t="s">
        <v>40</v>
      </c>
      <c r="AH1" s="14" t="s">
        <v>47</v>
      </c>
      <c r="AI1" s="20"/>
      <c r="AJ1" s="20"/>
      <c r="AK1" s="20"/>
      <c r="AL1" s="20"/>
      <c r="AM1" s="20"/>
      <c r="AN1" s="23"/>
      <c r="AO1" s="23"/>
      <c r="AP1" s="23"/>
      <c r="AQ1" s="20"/>
      <c r="AR1" s="24"/>
      <c r="AS1" s="20"/>
      <c r="AT1" s="20"/>
      <c r="AU1" s="20"/>
      <c r="AV1" s="24"/>
      <c r="AW1" s="23"/>
      <c r="AX1" s="20"/>
      <c r="AY1" s="23"/>
      <c r="AZ1" s="23"/>
      <c r="BA1" s="23"/>
      <c r="BB1" s="23"/>
      <c r="BC1" s="23"/>
      <c r="BD1" s="23"/>
      <c r="BE1" s="23"/>
      <c r="BF1" s="23"/>
      <c r="BG1" s="23"/>
      <c r="BH1" s="23"/>
      <c r="BI1" s="23"/>
      <c r="BJ1" s="23"/>
      <c r="BK1" s="23"/>
      <c r="BL1" s="23"/>
      <c r="BM1" s="23"/>
      <c r="BN1" s="23"/>
      <c r="BO1" s="23"/>
      <c r="BP1" s="23"/>
      <c r="BQ1" s="23"/>
      <c r="BR1" s="23"/>
      <c r="BS1" s="23"/>
      <c r="BT1" s="23"/>
      <c r="BU1" s="23"/>
      <c r="BV1" s="23"/>
      <c r="BW1" s="23"/>
      <c r="BX1" s="23"/>
    </row>
    <row r="2">
      <c r="A2" s="30">
        <v>1.0</v>
      </c>
      <c r="B2" s="30" t="s">
        <v>69</v>
      </c>
      <c r="C2" s="30" t="s">
        <v>70</v>
      </c>
      <c r="D2" s="30" t="s">
        <v>53</v>
      </c>
      <c r="E2" s="30" t="s">
        <v>72</v>
      </c>
      <c r="F2" s="30" t="s">
        <v>73</v>
      </c>
      <c r="G2" s="30" t="s">
        <v>74</v>
      </c>
      <c r="H2" s="30">
        <v>2.10416037348E11</v>
      </c>
      <c r="I2" s="30">
        <v>9.77257787E9</v>
      </c>
      <c r="J2" s="33" t="s">
        <v>75</v>
      </c>
      <c r="K2" s="30"/>
      <c r="L2" s="30">
        <v>270000.0</v>
      </c>
      <c r="M2" s="30">
        <v>270000.0</v>
      </c>
      <c r="N2" s="30">
        <v>255000.0</v>
      </c>
      <c r="O2" s="30">
        <v>200000.0</v>
      </c>
      <c r="P2" s="30">
        <f t="shared" ref="P2:P3" si="1">M2-O2</f>
        <v>70000</v>
      </c>
      <c r="Q2" s="36" t="s">
        <v>90</v>
      </c>
      <c r="R2" s="36" t="s">
        <v>71</v>
      </c>
      <c r="S2" s="36" t="s">
        <v>92</v>
      </c>
      <c r="T2" s="30" t="s">
        <v>93</v>
      </c>
      <c r="U2" s="30" t="s">
        <v>94</v>
      </c>
      <c r="V2" s="37" t="s">
        <v>95</v>
      </c>
      <c r="W2" s="30">
        <v>140000.0</v>
      </c>
      <c r="X2" s="30">
        <v>60000.0</v>
      </c>
      <c r="Y2" s="30">
        <v>70000.0</v>
      </c>
      <c r="Z2" s="39"/>
      <c r="AA2" s="30">
        <f t="shared" ref="AA2:AA3" si="2">P2-Y2-Z2</f>
        <v>0</v>
      </c>
      <c r="AB2" s="30">
        <f t="shared" ref="AB2:AB3" si="3">O2-W2-X2</f>
        <v>0</v>
      </c>
      <c r="AC2" s="30">
        <f t="shared" ref="AC2:AC3" si="4">AD2-AB2</f>
        <v>-15000</v>
      </c>
      <c r="AD2" s="40">
        <f t="shared" ref="AD2:AD3" si="5">N2-(W2+X2+Y2)</f>
        <v>-15000</v>
      </c>
      <c r="AE2" s="40">
        <f t="shared" ref="AE2:AE3" si="6">W2+X2+Y2+Z2</f>
        <v>270000</v>
      </c>
      <c r="AF2" s="30">
        <v>140000.0</v>
      </c>
      <c r="AG2" s="39"/>
    </row>
    <row r="3">
      <c r="A3" s="36">
        <v>2.0</v>
      </c>
      <c r="B3" s="36" t="s">
        <v>69</v>
      </c>
      <c r="C3" s="30" t="s">
        <v>109</v>
      </c>
      <c r="D3" s="30" t="s">
        <v>49</v>
      </c>
      <c r="E3" s="30" t="s">
        <v>110</v>
      </c>
      <c r="F3" s="30" t="s">
        <v>111</v>
      </c>
      <c r="G3" s="30" t="s">
        <v>112</v>
      </c>
      <c r="H3" s="30">
        <v>2.10454051148E11</v>
      </c>
      <c r="I3" s="30">
        <v>9.887696582E9</v>
      </c>
      <c r="J3" s="42" t="s">
        <v>113</v>
      </c>
      <c r="K3" s="42"/>
      <c r="L3" s="30">
        <v>200000.0</v>
      </c>
      <c r="M3" s="30">
        <v>185000.0</v>
      </c>
      <c r="N3" s="30">
        <v>175000.0</v>
      </c>
      <c r="O3" s="30">
        <v>180000.0</v>
      </c>
      <c r="P3" s="30">
        <f t="shared" si="1"/>
        <v>5000</v>
      </c>
      <c r="Q3" s="36" t="s">
        <v>90</v>
      </c>
      <c r="R3" s="36" t="s">
        <v>71</v>
      </c>
      <c r="S3" s="36" t="s">
        <v>92</v>
      </c>
      <c r="T3" s="30" t="s">
        <v>93</v>
      </c>
      <c r="U3" s="30" t="s">
        <v>94</v>
      </c>
      <c r="V3" s="37" t="s">
        <v>95</v>
      </c>
      <c r="W3" s="30">
        <v>126000.0</v>
      </c>
      <c r="X3" s="30">
        <v>54000.0</v>
      </c>
      <c r="Y3" s="30">
        <v>0.0</v>
      </c>
      <c r="Z3" s="30">
        <v>5000.0</v>
      </c>
      <c r="AA3" s="30">
        <f t="shared" si="2"/>
        <v>0</v>
      </c>
      <c r="AB3" s="30">
        <f t="shared" si="3"/>
        <v>0</v>
      </c>
      <c r="AC3" s="30">
        <f t="shared" si="4"/>
        <v>-5000</v>
      </c>
      <c r="AD3" s="40">
        <f t="shared" si="5"/>
        <v>-5000</v>
      </c>
      <c r="AE3" s="40">
        <f t="shared" si="6"/>
        <v>185000</v>
      </c>
      <c r="AF3" s="30">
        <v>180000.0</v>
      </c>
      <c r="AG3" s="39"/>
    </row>
    <row r="4">
      <c r="A4" s="15"/>
      <c r="B4" s="15"/>
      <c r="C4" s="15"/>
      <c r="D4" s="15"/>
      <c r="E4" s="15"/>
      <c r="F4" s="15"/>
      <c r="G4" s="15"/>
      <c r="H4" s="51"/>
      <c r="J4" s="15"/>
      <c r="L4" s="51"/>
      <c r="M4" s="51"/>
      <c r="N4" s="51"/>
      <c r="O4" s="51"/>
      <c r="P4" s="51"/>
      <c r="Q4" s="15"/>
      <c r="R4" s="15"/>
      <c r="S4" s="15"/>
    </row>
    <row r="5">
      <c r="C5" s="34"/>
      <c r="Q5" s="15"/>
      <c r="R5" s="15"/>
      <c r="S5" s="15"/>
    </row>
    <row r="6">
      <c r="A6" s="15"/>
      <c r="B6" s="15"/>
      <c r="C6" s="35"/>
      <c r="D6" s="15"/>
      <c r="E6" s="15"/>
      <c r="F6" s="15"/>
      <c r="G6" s="15"/>
      <c r="H6" s="51"/>
      <c r="I6" s="51"/>
      <c r="J6" s="15"/>
      <c r="K6" s="15"/>
      <c r="L6" s="51"/>
      <c r="M6" s="51"/>
      <c r="N6" s="51"/>
      <c r="O6" s="15"/>
      <c r="P6" s="15"/>
      <c r="Q6" s="15"/>
      <c r="R6" s="15"/>
      <c r="S6" s="15"/>
    </row>
    <row r="7">
      <c r="A7" s="15"/>
      <c r="B7" s="15"/>
      <c r="C7" s="15"/>
      <c r="D7" s="15"/>
      <c r="E7" s="15"/>
      <c r="F7" s="15"/>
      <c r="G7" s="15"/>
      <c r="H7" s="51"/>
      <c r="I7" s="15"/>
      <c r="J7" s="15"/>
      <c r="K7" s="15"/>
      <c r="L7" s="51"/>
      <c r="M7" s="51"/>
      <c r="N7" s="51"/>
      <c r="O7" s="15"/>
      <c r="P7" s="15"/>
      <c r="Q7" s="15"/>
      <c r="R7" s="15"/>
      <c r="S7" s="15"/>
    </row>
    <row r="8">
      <c r="A8" s="15"/>
      <c r="B8" s="15"/>
      <c r="C8" s="15"/>
      <c r="D8" s="15"/>
      <c r="E8" s="15"/>
      <c r="F8" s="15"/>
      <c r="G8" s="15"/>
      <c r="L8" s="51"/>
      <c r="M8" s="51"/>
      <c r="N8" s="51"/>
      <c r="O8" s="15"/>
      <c r="P8" s="15"/>
      <c r="Q8" s="15"/>
      <c r="R8" s="15"/>
      <c r="S8" s="15"/>
    </row>
    <row r="9">
      <c r="A9" s="15"/>
      <c r="B9" s="15"/>
      <c r="C9" s="15"/>
      <c r="D9" s="15"/>
      <c r="E9" s="15"/>
      <c r="F9" s="15"/>
      <c r="G9" s="15"/>
      <c r="J9" s="55"/>
      <c r="K9" s="55"/>
      <c r="L9" s="51"/>
      <c r="M9" s="51"/>
      <c r="N9" s="51"/>
      <c r="O9" s="15"/>
      <c r="P9" s="15"/>
      <c r="Q9" s="15"/>
      <c r="R9" s="15"/>
      <c r="S9" s="15"/>
    </row>
    <row r="10">
      <c r="A10" s="15"/>
      <c r="B10" s="15"/>
      <c r="J10" s="55"/>
      <c r="K10" s="55"/>
      <c r="Q10" s="15"/>
      <c r="R10" s="15"/>
      <c r="S10" s="15"/>
    </row>
    <row r="11">
      <c r="A11" s="15"/>
      <c r="B11" s="15"/>
      <c r="J11" s="55"/>
      <c r="K11" s="55"/>
      <c r="Q11" s="15"/>
      <c r="R11" s="15"/>
      <c r="S11" s="15"/>
    </row>
    <row r="12">
      <c r="A12" s="15"/>
      <c r="B12" s="15"/>
      <c r="J12" s="55"/>
      <c r="K12" s="55"/>
      <c r="Q12" s="15"/>
      <c r="R12" s="15"/>
      <c r="S12" s="15"/>
    </row>
    <row r="13">
      <c r="A13" s="15"/>
      <c r="B13" s="15"/>
      <c r="J13" s="55"/>
      <c r="K13" s="55"/>
      <c r="Q13" s="15"/>
      <c r="R13" s="15"/>
      <c r="S13" s="15"/>
    </row>
    <row r="14">
      <c r="A14" s="15"/>
      <c r="B14" s="15"/>
      <c r="J14" s="55"/>
      <c r="K14" s="55"/>
      <c r="Q14" s="15"/>
      <c r="R14" s="15"/>
      <c r="S14" s="15"/>
    </row>
    <row r="15">
      <c r="A15" s="15"/>
      <c r="J15" s="55"/>
      <c r="K15" s="55"/>
      <c r="Q15" s="15"/>
      <c r="R15" s="15"/>
      <c r="S15" s="15"/>
    </row>
    <row r="16">
      <c r="A16" s="15"/>
      <c r="J16" s="55"/>
      <c r="K16" s="55"/>
      <c r="Q16" s="15"/>
      <c r="R16" s="15"/>
      <c r="S16" s="15"/>
    </row>
    <row r="17">
      <c r="A17" s="15"/>
      <c r="J17" s="56"/>
      <c r="K17" s="56"/>
      <c r="Q17" s="15"/>
      <c r="R17" s="15"/>
      <c r="S17" s="15"/>
    </row>
    <row r="18">
      <c r="A18" s="15"/>
      <c r="J18" s="56"/>
      <c r="K18" s="56"/>
      <c r="Q18" s="15"/>
      <c r="R18" s="15"/>
      <c r="S18" s="15"/>
    </row>
    <row r="19">
      <c r="A19" s="15"/>
      <c r="J19" s="55"/>
      <c r="K19" s="55"/>
      <c r="Q19" s="15"/>
      <c r="R19" s="15"/>
      <c r="S19" s="15"/>
    </row>
    <row r="20">
      <c r="A20" s="15"/>
      <c r="B20" s="15"/>
      <c r="J20" s="55"/>
      <c r="K20" s="55"/>
      <c r="Q20" s="15"/>
      <c r="R20" s="15"/>
      <c r="S20" s="15"/>
    </row>
    <row r="21">
      <c r="A21" s="15"/>
      <c r="J21" s="55"/>
      <c r="K21" s="55"/>
      <c r="Q21" s="15"/>
      <c r="R21" s="15"/>
      <c r="S21" s="15"/>
    </row>
    <row r="22">
      <c r="A22" s="15"/>
      <c r="Q22" s="15"/>
      <c r="R22" s="15"/>
      <c r="S22" s="15"/>
    </row>
    <row r="23">
      <c r="A23" s="15"/>
      <c r="J23" s="55"/>
      <c r="K23" s="55"/>
      <c r="Q23" s="15"/>
      <c r="R23" s="15"/>
      <c r="S23" s="15"/>
    </row>
    <row r="24">
      <c r="A24" s="15"/>
      <c r="J24" s="55"/>
      <c r="K24" s="55"/>
      <c r="Q24" s="15"/>
      <c r="R24" s="15"/>
      <c r="S24" s="15"/>
    </row>
    <row r="25">
      <c r="A25" s="15"/>
      <c r="J25" s="55"/>
      <c r="K25" s="55"/>
      <c r="Q25" s="15"/>
      <c r="R25" s="15"/>
      <c r="S25" s="15"/>
    </row>
    <row r="26">
      <c r="A26" s="15"/>
      <c r="J26" s="56"/>
      <c r="K26" s="56"/>
      <c r="Q26" s="15"/>
      <c r="R26" s="15"/>
      <c r="S26" s="15"/>
    </row>
    <row r="27">
      <c r="A27" s="15"/>
      <c r="J27" s="56"/>
      <c r="K27" s="56"/>
    </row>
    <row r="28">
      <c r="A28" s="15"/>
      <c r="J28" s="56"/>
      <c r="K28" s="56"/>
    </row>
  </sheetData>
  <conditionalFormatting sqref="AH1">
    <cfRule type="cellIs" dxfId="0" priority="1" operator="equal">
      <formula>"Done"</formula>
    </cfRule>
  </conditionalFormatting>
  <dataValidations>
    <dataValidation type="list" allowBlank="1" showErrorMessage="1" sqref="T2:T3">
      <formula1>"Work Not Started Yet,Measrument Done,Material &amp; Team Reached,Structure Work,Panel,Inverter pending,Project On Hold,I&amp;C Completed"</formula1>
    </dataValidation>
    <dataValidation type="list" allowBlank="1" showErrorMessage="1" sqref="Q2:Q3">
      <formula1>"Doc Recieved,File login,COMPLET"</formula1>
    </dataValidation>
    <dataValidation type="list" allowBlank="1" showErrorMessage="1" sqref="S2:S3">
      <formula1>"Loan apply,File prepare,File into bank,Loan approved,Loan Rejected,CASH FILE"</formula1>
    </dataValidation>
    <dataValidation type="list" allowBlank="1" showErrorMessage="1" sqref="U2:U3">
      <formula1>"Pending,Meter &amp; File submit DISCOM,Net Metering,Subsidy apply with site photo,Subsidy granted"</formula1>
    </dataValidation>
    <dataValidation type="list" allowBlank="1" showErrorMessage="1" sqref="V2:V3">
      <formula1>"Cash To Mahi,1st Installment Received,2ns Installment Received,Payment Not Received Yet,Payment Due"</formula1>
    </dataValidation>
    <dataValidation type="list" allowBlank="1" showErrorMessage="1" sqref="R2:R3">
      <formula1>"Center (78K),Both (78 + 17),WITH OUT SUBSIDY"</formula1>
    </dataValidation>
  </dataValidations>
  <hyperlinks>
    <hyperlink r:id="rId1" ref="H1"/>
    <hyperlink r:id="rId2" ref="J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FF"/>
    <outlinePr summaryBelow="0" summaryRight="0"/>
  </sheetPr>
  <sheetViews>
    <sheetView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2.63" defaultRowHeight="15.75"/>
  <cols>
    <col customWidth="1" min="1" max="1" width="3.5"/>
    <col customWidth="1" min="2" max="2" width="16.38"/>
    <col customWidth="1" min="3" max="3" width="14.0"/>
    <col customWidth="1" min="4" max="4" width="4.63"/>
    <col customWidth="1" min="5" max="5" width="3.13"/>
    <col customWidth="1" min="6" max="6" width="8.75"/>
    <col customWidth="1" min="7" max="7" width="17.13"/>
    <col customWidth="1" min="8" max="8" width="12.13"/>
    <col customWidth="1" min="9" max="9" width="10.25"/>
    <col customWidth="1" min="10" max="10" width="27.63"/>
    <col customWidth="1" min="11" max="11" width="9.13"/>
    <col customWidth="1" min="12" max="12" width="16.75"/>
    <col customWidth="1" min="13" max="13" width="20.0"/>
    <col customWidth="1" min="14" max="14" width="13.25"/>
    <col customWidth="1" min="15" max="15" width="6.5"/>
    <col customWidth="1" min="16" max="16" width="5.13"/>
    <col customWidth="1" min="17" max="17" width="13.25"/>
    <col customWidth="1" min="18" max="18" width="16.5"/>
    <col customWidth="1" min="19" max="19" width="17.0"/>
    <col customWidth="1" min="20" max="20" width="17.13"/>
    <col customWidth="1" min="21" max="21" width="27.38"/>
    <col customWidth="1" min="22" max="22" width="24.5"/>
    <col customWidth="1" min="23" max="23" width="16.13"/>
    <col customWidth="1" min="24" max="24" width="16.38"/>
    <col customWidth="1" min="25" max="25" width="12.5"/>
    <col customWidth="1" min="26" max="26" width="22.0"/>
    <col customWidth="1" min="27" max="27" width="21.5"/>
    <col customWidth="1" min="28" max="28" width="9.75"/>
    <col customWidth="1" min="29" max="29" width="16.5"/>
    <col customWidth="1" min="30" max="30" width="15.13"/>
    <col customWidth="1" min="31" max="31" width="23.13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6" t="s">
        <v>10</v>
      </c>
      <c r="I1" s="3" t="s">
        <v>9</v>
      </c>
      <c r="J1" s="3" t="s">
        <v>11</v>
      </c>
      <c r="K1" s="3" t="s">
        <v>12</v>
      </c>
      <c r="L1" s="3" t="s">
        <v>13</v>
      </c>
      <c r="M1" s="3" t="s">
        <v>21</v>
      </c>
      <c r="N1" s="3" t="s">
        <v>23</v>
      </c>
      <c r="O1" s="3" t="s">
        <v>15</v>
      </c>
      <c r="P1" s="3" t="s">
        <v>26</v>
      </c>
      <c r="Q1" s="9" t="s">
        <v>28</v>
      </c>
      <c r="R1" s="9" t="s">
        <v>30</v>
      </c>
      <c r="S1" s="9" t="s">
        <v>32</v>
      </c>
      <c r="T1" s="9" t="s">
        <v>34</v>
      </c>
      <c r="U1" s="9" t="s">
        <v>22</v>
      </c>
      <c r="V1" s="9" t="s">
        <v>37</v>
      </c>
      <c r="W1" s="10" t="s">
        <v>25</v>
      </c>
      <c r="X1" s="10" t="s">
        <v>27</v>
      </c>
      <c r="Y1" s="10" t="s">
        <v>29</v>
      </c>
      <c r="Z1" s="10" t="s">
        <v>42</v>
      </c>
      <c r="AA1" s="10" t="s">
        <v>33</v>
      </c>
      <c r="AB1" s="10" t="s">
        <v>43</v>
      </c>
      <c r="AC1" s="10" t="s">
        <v>44</v>
      </c>
      <c r="AD1" s="10" t="s">
        <v>35</v>
      </c>
      <c r="AE1" s="10" t="s">
        <v>45</v>
      </c>
      <c r="AF1" s="14" t="s">
        <v>47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</row>
    <row r="2">
      <c r="A2" s="30">
        <v>1.0</v>
      </c>
      <c r="B2" s="30" t="s">
        <v>279</v>
      </c>
      <c r="C2" s="30" t="s">
        <v>284</v>
      </c>
      <c r="D2" s="30" t="s">
        <v>49</v>
      </c>
      <c r="E2" s="30"/>
      <c r="F2" s="30" t="s">
        <v>98</v>
      </c>
      <c r="G2" s="30" t="s">
        <v>54</v>
      </c>
      <c r="H2" s="30">
        <v>2.11529000809E11</v>
      </c>
      <c r="I2" s="30">
        <v>9.887278055E9</v>
      </c>
      <c r="J2" s="42" t="s">
        <v>285</v>
      </c>
      <c r="K2" s="30"/>
      <c r="L2" s="30">
        <v>200000.0</v>
      </c>
      <c r="M2" s="30">
        <v>180000.0</v>
      </c>
      <c r="N2" s="30">
        <v>145653.0</v>
      </c>
      <c r="O2" s="30">
        <v>180000.0</v>
      </c>
      <c r="P2" s="30">
        <f>M2-O2</f>
        <v>0</v>
      </c>
      <c r="Q2" s="36" t="s">
        <v>90</v>
      </c>
      <c r="R2" s="36" t="s">
        <v>71</v>
      </c>
      <c r="S2" s="36" t="s">
        <v>92</v>
      </c>
      <c r="T2" s="30" t="s">
        <v>93</v>
      </c>
      <c r="U2" s="30" t="s">
        <v>289</v>
      </c>
      <c r="V2" s="37" t="s">
        <v>95</v>
      </c>
      <c r="W2" s="30">
        <v>126000.0</v>
      </c>
      <c r="X2" s="30">
        <v>54000.0</v>
      </c>
      <c r="Y2" s="39"/>
      <c r="Z2" s="39"/>
      <c r="AA2" s="39">
        <f t="shared" ref="AA2:AA3" si="1">P2-Y2-Z2</f>
        <v>0</v>
      </c>
      <c r="AB2" s="39">
        <f t="shared" ref="AB2:AB3" si="2">O2-W2-X2</f>
        <v>0</v>
      </c>
      <c r="AC2" s="39">
        <f t="shared" ref="AC2:AC3" si="3">AD2-AB2</f>
        <v>-34347</v>
      </c>
      <c r="AD2" s="39">
        <f t="shared" ref="AD2:AD3" si="4">N2-(W2+X2+Y2)</f>
        <v>-34347</v>
      </c>
      <c r="AE2" s="40">
        <f t="shared" ref="AE2:AE3" si="5">W2+X2+Y2+Z2</f>
        <v>180000</v>
      </c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  <c r="AT2" s="39"/>
      <c r="AU2" s="39"/>
      <c r="AV2" s="39"/>
      <c r="AW2" s="39"/>
      <c r="AX2" s="39"/>
      <c r="AY2" s="39"/>
      <c r="AZ2" s="39"/>
      <c r="BA2" s="39"/>
      <c r="BB2" s="39"/>
      <c r="BC2" s="39"/>
      <c r="BD2" s="39"/>
      <c r="BE2" s="39"/>
    </row>
    <row r="3">
      <c r="A3" s="30">
        <v>2.0</v>
      </c>
      <c r="B3" s="30" t="s">
        <v>279</v>
      </c>
      <c r="C3" s="30" t="s">
        <v>296</v>
      </c>
      <c r="D3" s="30" t="s">
        <v>53</v>
      </c>
      <c r="E3" s="30"/>
      <c r="F3" s="30" t="s">
        <v>98</v>
      </c>
      <c r="G3" s="30" t="s">
        <v>298</v>
      </c>
      <c r="H3" s="30">
        <v>2.10475040978E11</v>
      </c>
      <c r="I3" s="30">
        <v>8.302049973E9</v>
      </c>
      <c r="J3" s="30" t="s">
        <v>301</v>
      </c>
      <c r="K3" s="30"/>
      <c r="L3" s="30">
        <v>245000.0</v>
      </c>
      <c r="M3" s="30">
        <v>245000.0</v>
      </c>
      <c r="N3" s="30">
        <v>181707.0</v>
      </c>
      <c r="O3" s="30">
        <v>0.0</v>
      </c>
      <c r="P3" s="30"/>
      <c r="Q3" s="36" t="s">
        <v>90</v>
      </c>
      <c r="R3" s="36" t="s">
        <v>56</v>
      </c>
      <c r="S3" s="36" t="s">
        <v>115</v>
      </c>
      <c r="T3" s="30" t="s">
        <v>93</v>
      </c>
      <c r="U3" s="30" t="s">
        <v>289</v>
      </c>
      <c r="V3" s="37" t="s">
        <v>118</v>
      </c>
      <c r="W3" s="30"/>
      <c r="X3" s="30"/>
      <c r="Y3" s="30">
        <f>151299+50000</f>
        <v>201299</v>
      </c>
      <c r="Z3" s="30"/>
      <c r="AA3" s="39">
        <f t="shared" si="1"/>
        <v>-201299</v>
      </c>
      <c r="AB3" s="39">
        <f t="shared" si="2"/>
        <v>0</v>
      </c>
      <c r="AC3" s="39">
        <f t="shared" si="3"/>
        <v>-19592</v>
      </c>
      <c r="AD3" s="39">
        <f t="shared" si="4"/>
        <v>-19592</v>
      </c>
      <c r="AE3" s="40">
        <f t="shared" si="5"/>
        <v>201299</v>
      </c>
      <c r="AF3" s="39"/>
      <c r="AG3" s="39"/>
      <c r="AH3" s="39"/>
      <c r="AI3" s="39"/>
      <c r="AJ3" s="39"/>
      <c r="AK3" s="39"/>
      <c r="AL3" s="39"/>
      <c r="AM3" s="39"/>
      <c r="AN3" s="39"/>
      <c r="AO3" s="39"/>
      <c r="AP3" s="39"/>
      <c r="AQ3" s="39"/>
      <c r="AR3" s="39"/>
      <c r="AS3" s="39"/>
      <c r="AT3" s="39"/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</row>
    <row r="4">
      <c r="A4" s="15"/>
      <c r="B4" s="15"/>
      <c r="C4" s="59"/>
      <c r="D4" s="59"/>
      <c r="E4" s="59"/>
      <c r="F4" s="59"/>
      <c r="G4" s="59"/>
      <c r="H4" s="59"/>
      <c r="I4" s="59"/>
      <c r="J4" s="55"/>
      <c r="K4" s="59"/>
      <c r="L4" s="59"/>
      <c r="M4" s="59"/>
      <c r="N4" s="59"/>
      <c r="O4" s="59"/>
      <c r="Q4" s="15"/>
      <c r="R4" s="15"/>
      <c r="S4" s="15"/>
    </row>
    <row r="5">
      <c r="A5" s="15"/>
      <c r="B5" s="15"/>
      <c r="C5" s="15"/>
      <c r="D5" s="15"/>
      <c r="E5" s="15"/>
      <c r="F5" s="15"/>
      <c r="G5" s="15"/>
      <c r="H5" s="51"/>
      <c r="J5" s="55"/>
      <c r="K5" s="51"/>
      <c r="L5" s="51"/>
      <c r="M5" s="51"/>
      <c r="N5" s="51"/>
      <c r="O5" s="51"/>
      <c r="P5" s="51"/>
      <c r="Q5" s="15"/>
      <c r="R5" s="15"/>
      <c r="S5" s="15"/>
    </row>
    <row r="6">
      <c r="A6" s="15"/>
      <c r="B6" s="15"/>
      <c r="C6" s="15"/>
      <c r="D6" s="15"/>
      <c r="E6" s="15"/>
      <c r="F6" s="15"/>
      <c r="G6" s="15"/>
      <c r="H6" s="51"/>
      <c r="I6" s="51"/>
      <c r="J6" s="76"/>
      <c r="K6" s="51"/>
      <c r="L6" s="51"/>
      <c r="M6" s="51"/>
      <c r="N6" s="51"/>
      <c r="O6" s="15"/>
      <c r="P6" s="15"/>
      <c r="Q6" s="15"/>
      <c r="R6" s="15"/>
      <c r="S6" s="15"/>
    </row>
    <row r="7">
      <c r="A7" s="15"/>
      <c r="B7" s="15"/>
      <c r="C7" s="15"/>
      <c r="D7" s="15"/>
      <c r="E7" s="15"/>
      <c r="F7" s="15"/>
      <c r="G7" s="15"/>
      <c r="H7" s="51"/>
      <c r="I7" s="51"/>
      <c r="J7" s="55"/>
      <c r="K7" s="51"/>
      <c r="L7" s="51"/>
      <c r="M7" s="51"/>
      <c r="N7" s="51"/>
      <c r="O7" s="15"/>
      <c r="P7" s="15"/>
      <c r="Q7" s="15"/>
      <c r="R7" s="15"/>
      <c r="S7" s="15"/>
      <c r="AD7" s="77">
        <v>50000.0</v>
      </c>
      <c r="AE7" s="23"/>
      <c r="AF7" s="20" t="s">
        <v>312</v>
      </c>
    </row>
    <row r="8">
      <c r="A8" s="15"/>
      <c r="B8" s="15"/>
      <c r="C8" s="15"/>
      <c r="D8" s="15"/>
      <c r="E8" s="15"/>
      <c r="F8" s="15"/>
      <c r="G8" s="15"/>
      <c r="H8" s="51"/>
      <c r="J8" s="55"/>
      <c r="K8" s="51"/>
      <c r="L8" s="51"/>
      <c r="M8" s="51"/>
      <c r="N8" s="51"/>
      <c r="O8" s="15"/>
      <c r="P8" s="15"/>
      <c r="Q8" s="15"/>
      <c r="R8" s="15"/>
      <c r="S8" s="15"/>
      <c r="U8" s="29"/>
    </row>
    <row r="9">
      <c r="A9" s="15"/>
      <c r="B9" s="15"/>
      <c r="C9" s="15"/>
      <c r="D9" s="15"/>
      <c r="E9" s="15"/>
      <c r="F9" s="15"/>
      <c r="G9" s="15"/>
      <c r="H9" s="51"/>
      <c r="J9" s="55"/>
      <c r="K9" s="51"/>
      <c r="L9" s="51"/>
      <c r="M9" s="51"/>
      <c r="N9" s="51"/>
      <c r="O9" s="15"/>
      <c r="P9" s="15"/>
      <c r="Q9" s="15"/>
      <c r="R9" s="15"/>
      <c r="S9" s="15"/>
    </row>
    <row r="10">
      <c r="A10" s="15"/>
      <c r="B10" s="15"/>
      <c r="J10" s="55"/>
      <c r="Q10" s="15"/>
      <c r="R10" s="15"/>
      <c r="S10" s="15"/>
    </row>
    <row r="11">
      <c r="A11" s="15"/>
      <c r="B11" s="15"/>
      <c r="J11" s="55"/>
      <c r="Q11" s="15"/>
      <c r="R11" s="15"/>
      <c r="S11" s="15"/>
    </row>
    <row r="12">
      <c r="A12" s="15"/>
      <c r="B12" s="15"/>
      <c r="J12" s="55"/>
      <c r="Q12" s="15"/>
      <c r="R12" s="15"/>
      <c r="S12" s="15"/>
    </row>
    <row r="13">
      <c r="A13" s="15"/>
      <c r="B13" s="15"/>
      <c r="J13" s="55"/>
      <c r="Q13" s="15"/>
      <c r="R13" s="15"/>
      <c r="S13" s="15"/>
    </row>
    <row r="14">
      <c r="A14" s="15"/>
      <c r="B14" s="15"/>
      <c r="J14" s="55"/>
      <c r="Q14" s="15"/>
      <c r="R14" s="15"/>
      <c r="S14" s="15"/>
    </row>
    <row r="15">
      <c r="A15" s="15"/>
      <c r="J15" s="55"/>
      <c r="Q15" s="15"/>
      <c r="R15" s="15"/>
      <c r="S15" s="15"/>
    </row>
    <row r="16">
      <c r="A16" s="15"/>
      <c r="J16" s="55"/>
      <c r="Q16" s="15"/>
      <c r="R16" s="15"/>
      <c r="S16" s="15"/>
    </row>
    <row r="17">
      <c r="A17" s="15"/>
      <c r="J17" s="56"/>
      <c r="Q17" s="15"/>
      <c r="R17" s="15"/>
      <c r="S17" s="15"/>
    </row>
    <row r="18">
      <c r="A18" s="15"/>
      <c r="J18" s="56"/>
      <c r="Q18" s="15"/>
      <c r="R18" s="15"/>
      <c r="S18" s="15"/>
    </row>
    <row r="19">
      <c r="A19" s="15"/>
      <c r="J19" s="55"/>
      <c r="Q19" s="15"/>
      <c r="R19" s="15"/>
      <c r="S19" s="15"/>
    </row>
    <row r="20">
      <c r="A20" s="15"/>
      <c r="B20" s="15"/>
      <c r="J20" s="55"/>
      <c r="Q20" s="15"/>
      <c r="R20" s="15"/>
      <c r="S20" s="15"/>
    </row>
    <row r="21">
      <c r="A21" s="15"/>
      <c r="J21" s="55"/>
      <c r="Q21" s="15"/>
      <c r="R21" s="15"/>
      <c r="S21" s="15"/>
    </row>
    <row r="22">
      <c r="A22" s="15"/>
      <c r="Q22" s="15"/>
      <c r="R22" s="15"/>
      <c r="S22" s="15"/>
    </row>
    <row r="23">
      <c r="A23" s="15"/>
      <c r="J23" s="55"/>
      <c r="Q23" s="15"/>
      <c r="R23" s="15"/>
      <c r="S23" s="15"/>
    </row>
    <row r="24">
      <c r="A24" s="15"/>
      <c r="J24" s="55"/>
      <c r="Q24" s="15"/>
      <c r="R24" s="15"/>
      <c r="S24" s="15"/>
    </row>
    <row r="25">
      <c r="A25" s="15"/>
      <c r="J25" s="55"/>
      <c r="Q25" s="15"/>
      <c r="R25" s="15"/>
      <c r="S25" s="15"/>
    </row>
    <row r="26">
      <c r="A26" s="15"/>
      <c r="J26" s="56"/>
      <c r="Q26" s="15"/>
      <c r="R26" s="15"/>
      <c r="S26" s="15"/>
    </row>
    <row r="27">
      <c r="A27" s="15"/>
      <c r="J27" s="56"/>
    </row>
    <row r="28">
      <c r="A28" s="15"/>
      <c r="J28" s="56"/>
    </row>
  </sheetData>
  <conditionalFormatting sqref="AF1">
    <cfRule type="cellIs" dxfId="0" priority="1" operator="equal">
      <formula>"Done"</formula>
    </cfRule>
  </conditionalFormatting>
  <dataValidations>
    <dataValidation type="list" allowBlank="1" showErrorMessage="1" sqref="T2:T3">
      <formula1>"Work Not Started Yet,Measrument Done,Material &amp; Team Reached,Structure Work,Panel,Inverter pending,Project On Hold,I&amp;C Completed"</formula1>
    </dataValidation>
    <dataValidation type="list" allowBlank="1" showErrorMessage="1" sqref="Q2:Q3">
      <formula1>"Doc Recieved,File login,COMPLET"</formula1>
    </dataValidation>
    <dataValidation type="list" allowBlank="1" showErrorMessage="1" sqref="S2:S3">
      <formula1>"Loan apply,File prepare,File into bank,Loan approved,Loan Rejected,CASH FILE"</formula1>
    </dataValidation>
    <dataValidation type="list" allowBlank="1" showErrorMessage="1" sqref="U2:U3">
      <formula1>"Pending,Meter &amp; File submit DISCOM,Net Metering,Subsidy apply with site photo,Subsidy granted"</formula1>
    </dataValidation>
    <dataValidation type="list" allowBlank="1" showErrorMessage="1" sqref="V2:V3">
      <formula1>"Cash To Mahi,1st Installment Received,2ns Installment Received,Payment Not Received Yet,Payment Due"</formula1>
    </dataValidation>
    <dataValidation type="list" allowBlank="1" showErrorMessage="1" sqref="R2:R3">
      <formula1>"Center (78K),Both (78 + 17),WITH OUT SUBSIDY"</formula1>
    </dataValidation>
  </dataValidations>
  <hyperlinks>
    <hyperlink r:id="rId1" ref="H1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75"/>
  <cols>
    <col customWidth="1" min="1" max="1" width="3.5"/>
    <col customWidth="1" min="2" max="2" width="7.0"/>
    <col customWidth="1" min="3" max="3" width="18.5"/>
    <col customWidth="1" min="4" max="4" width="5.88"/>
    <col customWidth="1" min="5" max="5" width="3.13"/>
    <col customWidth="1" min="6" max="6" width="11.75"/>
    <col customWidth="1" min="7" max="7" width="12.25"/>
    <col customWidth="1" min="8" max="8" width="12.13"/>
    <col customWidth="1" min="9" max="9" width="7.0"/>
    <col customWidth="1" min="10" max="10" width="6.13"/>
    <col customWidth="1" min="11" max="11" width="9.13"/>
    <col customWidth="1" min="12" max="12" width="8.63"/>
    <col customWidth="1" min="13" max="13" width="8.25"/>
    <col customWidth="1" min="14" max="15" width="6.63"/>
    <col customWidth="1" min="16" max="16" width="16.0"/>
    <col customWidth="1" min="17" max="17" width="20.5"/>
    <col customWidth="1" min="18" max="18" width="17.0"/>
    <col customWidth="1" min="19" max="19" width="18.25"/>
    <col customWidth="1" min="20" max="20" width="27.38"/>
    <col customWidth="1" min="21" max="21" width="16.5"/>
    <col customWidth="1" min="22" max="22" width="16.13"/>
    <col customWidth="1" min="23" max="23" width="16.38"/>
    <col customWidth="1" min="24" max="24" width="12.5"/>
    <col customWidth="1" min="25" max="25" width="8.5"/>
    <col customWidth="1" min="26" max="26" width="21.5"/>
    <col customWidth="1" min="27" max="27" width="15.13"/>
    <col customWidth="1" min="28" max="28" width="21.0"/>
    <col customWidth="1" min="29" max="29" width="11.75"/>
    <col customWidth="1" min="30" max="30" width="22.5"/>
    <col customWidth="1" min="31" max="31" width="11.38"/>
    <col customWidth="1" min="32" max="32" width="8.38"/>
  </cols>
  <sheetData>
    <row r="1">
      <c r="A1" s="2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" t="s">
        <v>8</v>
      </c>
      <c r="I1" s="3" t="s">
        <v>9</v>
      </c>
      <c r="J1" s="3" t="s">
        <v>11</v>
      </c>
      <c r="K1" s="5" t="s">
        <v>12</v>
      </c>
      <c r="L1" s="7" t="s">
        <v>302</v>
      </c>
      <c r="M1" s="7" t="s">
        <v>303</v>
      </c>
      <c r="N1" s="7" t="s">
        <v>15</v>
      </c>
      <c r="O1" s="7" t="s">
        <v>16</v>
      </c>
      <c r="P1" s="7" t="s">
        <v>17</v>
      </c>
      <c r="Q1" s="7" t="s">
        <v>18</v>
      </c>
      <c r="R1" s="7" t="s">
        <v>19</v>
      </c>
      <c r="S1" s="8" t="s">
        <v>20</v>
      </c>
      <c r="T1" s="8" t="s">
        <v>304</v>
      </c>
      <c r="U1" s="8" t="s">
        <v>24</v>
      </c>
      <c r="V1" s="10" t="s">
        <v>25</v>
      </c>
      <c r="W1" s="10" t="s">
        <v>27</v>
      </c>
      <c r="X1" s="10" t="s">
        <v>29</v>
      </c>
      <c r="Y1" s="10" t="s">
        <v>31</v>
      </c>
      <c r="Z1" s="10" t="s">
        <v>33</v>
      </c>
      <c r="AA1" s="11" t="s">
        <v>35</v>
      </c>
      <c r="AB1" s="10" t="s">
        <v>36</v>
      </c>
      <c r="AC1" s="8" t="s">
        <v>38</v>
      </c>
      <c r="AD1" s="8" t="s">
        <v>39</v>
      </c>
      <c r="AE1" s="8" t="s">
        <v>40</v>
      </c>
      <c r="AF1" s="8" t="s">
        <v>41</v>
      </c>
    </row>
    <row r="2">
      <c r="A2" s="35">
        <v>1.0</v>
      </c>
      <c r="B2" s="35"/>
      <c r="C2" s="35" t="s">
        <v>306</v>
      </c>
      <c r="D2" s="35" t="s">
        <v>307</v>
      </c>
      <c r="E2" s="35"/>
      <c r="F2" s="35" t="s">
        <v>309</v>
      </c>
      <c r="G2" s="35" t="s">
        <v>309</v>
      </c>
      <c r="H2" s="75">
        <v>2.10473067916E11</v>
      </c>
      <c r="I2" s="75"/>
      <c r="J2" s="75"/>
      <c r="K2" s="75"/>
      <c r="L2" s="35">
        <v>275000.0</v>
      </c>
      <c r="M2" s="35">
        <v>274000.0</v>
      </c>
      <c r="N2" s="35">
        <v>0.0</v>
      </c>
      <c r="O2" s="36">
        <f t="shared" ref="O2:O6" si="1">M2-N2</f>
        <v>274000</v>
      </c>
      <c r="P2" s="35" t="s">
        <v>55</v>
      </c>
      <c r="Q2" s="15" t="s">
        <v>186</v>
      </c>
      <c r="R2" s="35" t="s">
        <v>115</v>
      </c>
      <c r="S2" s="30" t="s">
        <v>313</v>
      </c>
      <c r="T2" s="34" t="s">
        <v>289</v>
      </c>
      <c r="U2" s="34" t="s">
        <v>314</v>
      </c>
      <c r="V2" s="34"/>
      <c r="W2" s="34"/>
      <c r="X2" s="34">
        <v>274000.0</v>
      </c>
      <c r="Y2" s="30">
        <f t="shared" ref="Y2:Y6" si="2">N2-V2-W2</f>
        <v>0</v>
      </c>
      <c r="Z2" s="30">
        <f t="shared" ref="Z2:Z6" si="3">O2-X2</f>
        <v>0</v>
      </c>
      <c r="AA2" s="30">
        <f t="shared" ref="AA2:AA6" si="4">Y2+Z2</f>
        <v>0</v>
      </c>
      <c r="AB2" s="30">
        <f t="shared" ref="AB2:AB6" si="5">V2+W2+X2</f>
        <v>274000</v>
      </c>
      <c r="AC2" s="34">
        <f>200000+70000</f>
        <v>270000</v>
      </c>
      <c r="AD2" s="34">
        <v>0.0</v>
      </c>
      <c r="AE2" s="29"/>
      <c r="AF2" s="29"/>
      <c r="AG2" s="29"/>
      <c r="AH2" s="29"/>
      <c r="AI2" s="29"/>
      <c r="AJ2" s="29"/>
      <c r="AK2" s="29"/>
      <c r="AL2" s="29"/>
      <c r="AM2" s="29"/>
      <c r="AN2" s="29"/>
    </row>
    <row r="3">
      <c r="A3" s="59">
        <v>2.0</v>
      </c>
      <c r="B3" s="59"/>
      <c r="C3" s="59" t="s">
        <v>320</v>
      </c>
      <c r="D3" s="59" t="s">
        <v>274</v>
      </c>
      <c r="E3" s="59"/>
      <c r="F3" s="59" t="s">
        <v>68</v>
      </c>
      <c r="G3" s="59" t="s">
        <v>127</v>
      </c>
      <c r="H3" s="59">
        <v>2.10474008228E11</v>
      </c>
      <c r="I3" s="59"/>
      <c r="J3" s="59"/>
      <c r="K3" s="59"/>
      <c r="L3" s="59">
        <v>380000.0</v>
      </c>
      <c r="M3" s="59">
        <v>405000.0</v>
      </c>
      <c r="N3" s="35">
        <v>500000.0</v>
      </c>
      <c r="O3" s="36">
        <f t="shared" si="1"/>
        <v>-95000</v>
      </c>
      <c r="P3" s="35" t="s">
        <v>55</v>
      </c>
      <c r="Q3" s="15" t="s">
        <v>186</v>
      </c>
      <c r="R3" s="35" t="s">
        <v>92</v>
      </c>
      <c r="S3" s="30" t="s">
        <v>321</v>
      </c>
      <c r="T3" s="34" t="s">
        <v>289</v>
      </c>
      <c r="U3" s="34" t="s">
        <v>179</v>
      </c>
      <c r="V3" s="59">
        <v>395648.0</v>
      </c>
      <c r="W3" s="59">
        <v>98912.0</v>
      </c>
      <c r="X3" s="59">
        <v>0.0</v>
      </c>
      <c r="Y3" s="30">
        <f t="shared" si="2"/>
        <v>5440</v>
      </c>
      <c r="Z3" s="30">
        <f t="shared" si="3"/>
        <v>-95000</v>
      </c>
      <c r="AA3" s="30">
        <f t="shared" si="4"/>
        <v>-89560</v>
      </c>
      <c r="AB3" s="30">
        <f t="shared" si="5"/>
        <v>494560</v>
      </c>
      <c r="AD3" s="72">
        <f>395648+98912</f>
        <v>494560</v>
      </c>
    </row>
    <row r="4">
      <c r="A4" s="35">
        <v>3.0</v>
      </c>
      <c r="B4" s="59"/>
      <c r="C4" s="59" t="s">
        <v>322</v>
      </c>
      <c r="D4" s="59" t="s">
        <v>53</v>
      </c>
      <c r="E4" s="59"/>
      <c r="F4" s="59" t="s">
        <v>323</v>
      </c>
      <c r="G4" s="59" t="s">
        <v>89</v>
      </c>
      <c r="L4" s="59">
        <v>200000.0</v>
      </c>
      <c r="M4" s="59">
        <v>200000.0</v>
      </c>
      <c r="N4" s="59">
        <v>0.0</v>
      </c>
      <c r="O4" s="36">
        <f t="shared" si="1"/>
        <v>200000</v>
      </c>
      <c r="P4" s="35" t="s">
        <v>55</v>
      </c>
      <c r="Q4" s="15" t="s">
        <v>186</v>
      </c>
      <c r="R4" s="35" t="s">
        <v>115</v>
      </c>
      <c r="S4" s="30" t="s">
        <v>321</v>
      </c>
      <c r="V4" s="59">
        <v>0.0</v>
      </c>
      <c r="W4" s="59">
        <v>0.0</v>
      </c>
      <c r="X4" s="59">
        <v>0.0</v>
      </c>
      <c r="Y4" s="30">
        <f t="shared" si="2"/>
        <v>0</v>
      </c>
      <c r="Z4" s="30">
        <f t="shared" si="3"/>
        <v>200000</v>
      </c>
      <c r="AA4" s="30">
        <f t="shared" si="4"/>
        <v>200000</v>
      </c>
      <c r="AB4" s="30">
        <f t="shared" si="5"/>
        <v>0</v>
      </c>
    </row>
    <row r="5">
      <c r="A5" s="59">
        <v>4.0</v>
      </c>
      <c r="B5" s="59"/>
      <c r="C5" s="59" t="s">
        <v>327</v>
      </c>
      <c r="D5" s="59" t="s">
        <v>274</v>
      </c>
      <c r="E5" s="59"/>
      <c r="F5" s="59" t="s">
        <v>68</v>
      </c>
      <c r="G5" s="59" t="s">
        <v>127</v>
      </c>
      <c r="H5" s="59">
        <v>2.10474017916E11</v>
      </c>
      <c r="I5" s="59"/>
      <c r="J5" s="59"/>
      <c r="K5" s="59"/>
      <c r="L5" s="59">
        <v>385000.0</v>
      </c>
      <c r="M5" s="59">
        <v>405000.0</v>
      </c>
      <c r="N5" s="35">
        <v>0.0</v>
      </c>
      <c r="O5" s="36">
        <f t="shared" si="1"/>
        <v>405000</v>
      </c>
      <c r="P5" s="35" t="s">
        <v>55</v>
      </c>
      <c r="Q5" s="15" t="s">
        <v>186</v>
      </c>
      <c r="R5" s="35" t="s">
        <v>115</v>
      </c>
      <c r="S5" s="30" t="s">
        <v>321</v>
      </c>
      <c r="T5" s="34" t="s">
        <v>289</v>
      </c>
      <c r="U5" s="34" t="s">
        <v>314</v>
      </c>
      <c r="V5" s="59"/>
      <c r="W5" s="59"/>
      <c r="X5" s="59">
        <v>380000.0</v>
      </c>
      <c r="Y5" s="30">
        <f t="shared" si="2"/>
        <v>0</v>
      </c>
      <c r="Z5" s="30">
        <f t="shared" si="3"/>
        <v>25000</v>
      </c>
      <c r="AA5" s="30">
        <f t="shared" si="4"/>
        <v>25000</v>
      </c>
      <c r="AB5" s="30">
        <f t="shared" si="5"/>
        <v>380000</v>
      </c>
      <c r="AC5" s="59">
        <f>100000+80000+100000+100000</f>
        <v>380000</v>
      </c>
    </row>
    <row r="6">
      <c r="A6" s="15">
        <v>5.0</v>
      </c>
      <c r="B6" s="59"/>
      <c r="C6" s="59" t="s">
        <v>328</v>
      </c>
      <c r="D6" s="59" t="s">
        <v>329</v>
      </c>
      <c r="E6" s="59"/>
      <c r="F6" s="59" t="s">
        <v>265</v>
      </c>
      <c r="G6" s="59" t="s">
        <v>265</v>
      </c>
      <c r="L6" s="59">
        <v>330000.0</v>
      </c>
      <c r="M6" s="59">
        <v>100000.0</v>
      </c>
      <c r="N6" s="15">
        <v>0.0</v>
      </c>
      <c r="O6" s="36">
        <f t="shared" si="1"/>
        <v>100000</v>
      </c>
      <c r="P6" s="15" t="s">
        <v>57</v>
      </c>
      <c r="Q6" s="15" t="s">
        <v>186</v>
      </c>
      <c r="R6" s="15" t="s">
        <v>115</v>
      </c>
      <c r="S6" s="30" t="s">
        <v>313</v>
      </c>
      <c r="T6" s="59" t="s">
        <v>63</v>
      </c>
      <c r="U6" s="59" t="s">
        <v>314</v>
      </c>
      <c r="V6" s="59"/>
      <c r="W6" s="59"/>
      <c r="X6" s="59">
        <v>100000.0</v>
      </c>
      <c r="Y6" s="30">
        <f t="shared" si="2"/>
        <v>0</v>
      </c>
      <c r="Z6" s="30">
        <f t="shared" si="3"/>
        <v>0</v>
      </c>
      <c r="AA6" s="30">
        <f t="shared" si="4"/>
        <v>0</v>
      </c>
      <c r="AB6" s="30">
        <f t="shared" si="5"/>
        <v>100000</v>
      </c>
      <c r="AC6" s="59">
        <v>100000.0</v>
      </c>
    </row>
    <row r="7">
      <c r="A7" s="81">
        <v>6.0</v>
      </c>
      <c r="B7" s="82"/>
      <c r="C7" s="82" t="s">
        <v>334</v>
      </c>
      <c r="D7" s="82" t="s">
        <v>335</v>
      </c>
      <c r="E7" s="82"/>
      <c r="F7" s="82" t="s">
        <v>336</v>
      </c>
      <c r="G7" s="82" t="s">
        <v>337</v>
      </c>
      <c r="H7" s="82">
        <v>2.11522048861E11</v>
      </c>
      <c r="I7" s="82"/>
      <c r="J7" s="82"/>
      <c r="K7" s="82"/>
      <c r="L7" s="82">
        <v>2550000.0</v>
      </c>
      <c r="M7" s="82"/>
      <c r="N7" s="81"/>
      <c r="O7" s="81"/>
      <c r="P7" s="81" t="s">
        <v>57</v>
      </c>
      <c r="Q7" s="81" t="s">
        <v>186</v>
      </c>
      <c r="R7" s="81" t="s">
        <v>115</v>
      </c>
      <c r="S7" s="59"/>
      <c r="T7" s="82" t="s">
        <v>63</v>
      </c>
      <c r="U7" s="82" t="s">
        <v>314</v>
      </c>
      <c r="V7" s="83"/>
      <c r="W7" s="83"/>
      <c r="X7" s="83"/>
      <c r="Y7" s="83"/>
      <c r="Z7" s="83"/>
      <c r="AA7" s="83"/>
      <c r="AB7" s="83"/>
      <c r="AC7" s="83"/>
      <c r="AD7" s="83"/>
      <c r="AE7" s="83"/>
      <c r="AF7" s="83"/>
      <c r="AG7" s="83"/>
      <c r="AH7" s="83"/>
      <c r="AI7" s="83"/>
      <c r="AJ7" s="83"/>
      <c r="AK7" s="83"/>
      <c r="AL7" s="83"/>
      <c r="AM7" s="83"/>
      <c r="AN7" s="83"/>
    </row>
    <row r="8">
      <c r="A8" s="82">
        <v>7.0</v>
      </c>
      <c r="B8" s="82"/>
      <c r="C8" s="82" t="s">
        <v>338</v>
      </c>
      <c r="D8" s="82" t="s">
        <v>339</v>
      </c>
      <c r="E8" s="82"/>
      <c r="F8" s="82" t="s">
        <v>336</v>
      </c>
      <c r="G8" s="82" t="s">
        <v>337</v>
      </c>
      <c r="H8" s="83"/>
      <c r="I8" s="83"/>
      <c r="J8" s="83"/>
      <c r="K8" s="83"/>
      <c r="L8" s="83"/>
      <c r="M8" s="83"/>
      <c r="N8" s="81"/>
      <c r="O8" s="81"/>
      <c r="P8" s="81" t="s">
        <v>57</v>
      </c>
      <c r="Q8" s="81" t="s">
        <v>186</v>
      </c>
      <c r="R8" s="81" t="s">
        <v>115</v>
      </c>
      <c r="S8" s="19" t="s">
        <v>344</v>
      </c>
      <c r="T8" s="82" t="s">
        <v>63</v>
      </c>
      <c r="U8" s="82" t="s">
        <v>314</v>
      </c>
      <c r="V8" s="83"/>
      <c r="W8" s="83"/>
      <c r="X8" s="83"/>
      <c r="Y8" s="83"/>
      <c r="Z8" s="83"/>
      <c r="AA8" s="83"/>
      <c r="AB8" s="83"/>
      <c r="AC8" s="83"/>
      <c r="AD8" s="83"/>
      <c r="AE8" s="83"/>
      <c r="AF8" s="83"/>
      <c r="AG8" s="83"/>
      <c r="AH8" s="83"/>
      <c r="AI8" s="83"/>
      <c r="AJ8" s="83"/>
      <c r="AK8" s="83"/>
      <c r="AL8" s="83"/>
      <c r="AM8" s="83"/>
      <c r="AN8" s="83"/>
    </row>
    <row r="9">
      <c r="A9" s="81">
        <v>8.0</v>
      </c>
      <c r="B9" s="82"/>
      <c r="C9" s="82" t="s">
        <v>346</v>
      </c>
      <c r="D9" s="82" t="s">
        <v>347</v>
      </c>
      <c r="E9" s="82"/>
      <c r="F9" s="82" t="s">
        <v>336</v>
      </c>
      <c r="G9" s="82" t="s">
        <v>337</v>
      </c>
      <c r="H9" s="83"/>
      <c r="I9" s="83"/>
      <c r="J9" s="83"/>
      <c r="K9" s="83"/>
      <c r="L9" s="83"/>
      <c r="M9" s="83"/>
      <c r="N9" s="81"/>
      <c r="O9" s="81"/>
      <c r="P9" s="81" t="s">
        <v>57</v>
      </c>
      <c r="Q9" s="81" t="s">
        <v>186</v>
      </c>
      <c r="R9" s="81" t="s">
        <v>115</v>
      </c>
      <c r="S9" s="19" t="s">
        <v>344</v>
      </c>
      <c r="T9" s="82" t="s">
        <v>63</v>
      </c>
      <c r="U9" s="82" t="s">
        <v>314</v>
      </c>
      <c r="V9" s="83"/>
      <c r="W9" s="83"/>
      <c r="X9" s="83"/>
      <c r="Y9" s="83"/>
      <c r="Z9" s="83"/>
      <c r="AA9" s="83"/>
      <c r="AB9" s="83"/>
      <c r="AC9" s="83"/>
      <c r="AD9" s="83"/>
      <c r="AE9" s="83"/>
      <c r="AF9" s="83"/>
      <c r="AG9" s="83"/>
      <c r="AH9" s="83"/>
      <c r="AI9" s="83"/>
      <c r="AJ9" s="83"/>
      <c r="AK9" s="83"/>
      <c r="AL9" s="83"/>
      <c r="AM9" s="83"/>
      <c r="AN9" s="83"/>
    </row>
    <row r="10">
      <c r="A10" s="82">
        <v>9.0</v>
      </c>
      <c r="B10" s="82"/>
      <c r="C10" s="82" t="s">
        <v>346</v>
      </c>
      <c r="D10" s="82" t="s">
        <v>347</v>
      </c>
      <c r="E10" s="82"/>
      <c r="F10" s="82" t="s">
        <v>336</v>
      </c>
      <c r="G10" s="82" t="s">
        <v>337</v>
      </c>
      <c r="H10" s="83"/>
      <c r="I10" s="83"/>
      <c r="J10" s="83"/>
      <c r="K10" s="83"/>
      <c r="L10" s="83"/>
      <c r="M10" s="83"/>
      <c r="N10" s="81"/>
      <c r="O10" s="81"/>
      <c r="P10" s="81" t="s">
        <v>57</v>
      </c>
      <c r="Q10" s="81" t="s">
        <v>186</v>
      </c>
      <c r="R10" s="81" t="s">
        <v>115</v>
      </c>
      <c r="S10" s="19" t="s">
        <v>344</v>
      </c>
      <c r="T10" s="82" t="s">
        <v>63</v>
      </c>
      <c r="U10" s="82" t="s">
        <v>314</v>
      </c>
      <c r="V10" s="83"/>
      <c r="W10" s="83"/>
      <c r="X10" s="83"/>
      <c r="Y10" s="83"/>
      <c r="Z10" s="83"/>
      <c r="AA10" s="83"/>
      <c r="AB10" s="83"/>
      <c r="AC10" s="83"/>
      <c r="AD10" s="83"/>
      <c r="AE10" s="83"/>
      <c r="AF10" s="83"/>
      <c r="AG10" s="83"/>
      <c r="AH10" s="83"/>
      <c r="AI10" s="83"/>
      <c r="AJ10" s="83"/>
      <c r="AK10" s="83"/>
      <c r="AL10" s="83"/>
      <c r="AM10" s="83"/>
      <c r="AN10" s="83"/>
    </row>
    <row r="11">
      <c r="A11" s="82">
        <v>10.0</v>
      </c>
      <c r="B11" s="82"/>
      <c r="C11" s="82" t="s">
        <v>354</v>
      </c>
      <c r="D11" s="82" t="s">
        <v>274</v>
      </c>
      <c r="E11" s="82"/>
      <c r="F11" s="82" t="s">
        <v>68</v>
      </c>
      <c r="G11" s="82" t="s">
        <v>127</v>
      </c>
      <c r="H11" s="82">
        <v>2.10474053737E11</v>
      </c>
      <c r="I11" s="82"/>
      <c r="J11" s="82"/>
      <c r="K11" s="82"/>
      <c r="L11" s="83"/>
      <c r="M11" s="83"/>
      <c r="N11" s="81"/>
      <c r="O11" s="81"/>
      <c r="P11" s="81" t="s">
        <v>57</v>
      </c>
      <c r="Q11" s="81" t="s">
        <v>186</v>
      </c>
      <c r="R11" s="81" t="s">
        <v>115</v>
      </c>
      <c r="S11" s="19" t="s">
        <v>344</v>
      </c>
      <c r="T11" s="82" t="s">
        <v>63</v>
      </c>
      <c r="U11" s="82" t="s">
        <v>314</v>
      </c>
      <c r="V11" s="83"/>
      <c r="W11" s="83"/>
      <c r="X11" s="83"/>
      <c r="Y11" s="83"/>
      <c r="Z11" s="83"/>
      <c r="AA11" s="83"/>
      <c r="AB11" s="83"/>
      <c r="AC11" s="83"/>
      <c r="AD11" s="83"/>
      <c r="AE11" s="83"/>
      <c r="AF11" s="83"/>
      <c r="AG11" s="83"/>
      <c r="AH11" s="83"/>
      <c r="AI11" s="83"/>
      <c r="AJ11" s="83"/>
      <c r="AK11" s="83"/>
      <c r="AL11" s="83"/>
      <c r="AM11" s="83"/>
      <c r="AN11" s="83"/>
    </row>
    <row r="12">
      <c r="A12" s="81">
        <v>11.0</v>
      </c>
      <c r="B12" s="82"/>
      <c r="C12" s="82" t="s">
        <v>356</v>
      </c>
      <c r="D12" s="82" t="s">
        <v>274</v>
      </c>
      <c r="E12" s="82"/>
      <c r="F12" s="82" t="s">
        <v>357</v>
      </c>
      <c r="G12" s="82" t="s">
        <v>68</v>
      </c>
      <c r="H12" s="81" t="s">
        <v>68</v>
      </c>
      <c r="I12" s="81"/>
      <c r="J12" s="81"/>
      <c r="K12" s="81"/>
      <c r="L12" s="82">
        <v>670000.0</v>
      </c>
      <c r="M12" s="82"/>
      <c r="N12" s="82">
        <v>600000.0</v>
      </c>
      <c r="O12" s="82"/>
      <c r="P12" s="81" t="s">
        <v>57</v>
      </c>
      <c r="Q12" s="81" t="s">
        <v>186</v>
      </c>
      <c r="R12" s="81" t="s">
        <v>60</v>
      </c>
      <c r="S12" s="19" t="s">
        <v>344</v>
      </c>
      <c r="T12" s="82" t="s">
        <v>63</v>
      </c>
      <c r="U12" s="82" t="s">
        <v>314</v>
      </c>
      <c r="V12" s="83"/>
      <c r="W12" s="83"/>
      <c r="X12" s="83"/>
      <c r="Y12" s="83"/>
      <c r="Z12" s="83"/>
      <c r="AA12" s="83"/>
      <c r="AB12" s="83"/>
      <c r="AC12" s="83"/>
      <c r="AD12" s="83"/>
      <c r="AE12" s="83"/>
      <c r="AF12" s="83"/>
      <c r="AG12" s="83"/>
      <c r="AH12" s="83"/>
      <c r="AI12" s="83"/>
      <c r="AJ12" s="83"/>
      <c r="AK12" s="83"/>
      <c r="AL12" s="83"/>
      <c r="AM12" s="83"/>
      <c r="AN12" s="83"/>
    </row>
  </sheetData>
  <dataValidations>
    <dataValidation type="list" allowBlank="1" showErrorMessage="1" sqref="S2:S6">
      <formula1>"work not started,Site Visit,Material &amp; Team reached,Structure work,Panel,payment DUE"</formula1>
    </dataValidation>
    <dataValidation type="list" allowBlank="1" showErrorMessage="1" sqref="U2:U3 U5:U12">
      <formula1>"Cash to mahi,1st installment,2nd installment,pending"</formula1>
    </dataValidation>
    <dataValidation type="list" allowBlank="1" showErrorMessage="1" sqref="P2:P12">
      <formula1>"Doc Recieved,File login,COMPLET"</formula1>
    </dataValidation>
    <dataValidation type="list" allowBlank="1" showErrorMessage="1" sqref="R2:R12">
      <formula1>"Loan apply,File prepare,File into bank,Loan approved,Loan Rejected,CASH FILE"</formula1>
    </dataValidation>
    <dataValidation type="list" allowBlank="1" showErrorMessage="1" sqref="T2:T3 T5:T12">
      <formula1>"Pending,Meter &amp; File submit DISCOM,Net Metering"</formula1>
    </dataValidation>
    <dataValidation type="list" allowBlank="1" showErrorMessage="1" sqref="Q2:Q12">
      <formula1>"Center (78K),Both (78 + 17),WITH OUT SUBSIDY"</formula1>
    </dataValidation>
    <dataValidation type="list" allowBlank="1" showErrorMessage="1" sqref="S8:S12">
      <formula1>"work not started,Site Visit,Material &amp; Team reached,Structure work,Panel,payment DUE,project on HOLD"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17.25"/>
  </cols>
  <sheetData>
    <row r="1">
      <c r="A1" s="7" t="s">
        <v>372</v>
      </c>
      <c r="B1" s="7" t="s">
        <v>373</v>
      </c>
      <c r="C1" s="7" t="s">
        <v>4</v>
      </c>
      <c r="D1" s="7" t="s">
        <v>374</v>
      </c>
      <c r="E1" s="7" t="s">
        <v>16</v>
      </c>
      <c r="F1" s="8" t="s">
        <v>20</v>
      </c>
      <c r="G1" s="8" t="s">
        <v>24</v>
      </c>
      <c r="H1" s="8" t="s">
        <v>40</v>
      </c>
      <c r="I1" s="8" t="s">
        <v>38</v>
      </c>
      <c r="J1" s="8" t="s">
        <v>377</v>
      </c>
      <c r="K1" s="8" t="s">
        <v>40</v>
      </c>
    </row>
    <row r="2">
      <c r="A2" s="59">
        <v>1.0</v>
      </c>
      <c r="B2" s="59" t="s">
        <v>264</v>
      </c>
      <c r="C2" s="59" t="s">
        <v>49</v>
      </c>
      <c r="D2" s="59" t="s">
        <v>265</v>
      </c>
      <c r="F2" s="59" t="s">
        <v>90</v>
      </c>
      <c r="G2" s="59" t="s">
        <v>179</v>
      </c>
      <c r="H2" s="59">
        <v>38788.0</v>
      </c>
      <c r="J2" s="84">
        <f>H2-I2</f>
        <v>38788</v>
      </c>
      <c r="K2" s="84">
        <f>H2</f>
        <v>38788</v>
      </c>
    </row>
  </sheetData>
  <dataValidations>
    <dataValidation type="list" allowBlank="1" showErrorMessage="1" sqref="G2">
      <formula1>"Cash to mahi,1st installment,2nd installment,pending"</formula1>
    </dataValidation>
    <dataValidation type="list" allowBlank="1" showErrorMessage="1" sqref="F2">
      <formula1>"Site Visit,Material &amp; Team reached,Structure work,Panel,COMPLET"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13"/>
    <col customWidth="1" min="4" max="4" width="14.0"/>
    <col customWidth="1" min="6" max="6" width="16.75"/>
    <col customWidth="1" min="7" max="7" width="20.38"/>
    <col customWidth="1" min="10" max="10" width="16.38"/>
  </cols>
  <sheetData>
    <row r="1">
      <c r="A1" s="7" t="s">
        <v>372</v>
      </c>
      <c r="B1" s="7" t="s">
        <v>373</v>
      </c>
      <c r="C1" s="7" t="s">
        <v>4</v>
      </c>
      <c r="D1" s="7" t="s">
        <v>374</v>
      </c>
      <c r="E1" s="7" t="s">
        <v>16</v>
      </c>
      <c r="F1" s="8" t="s">
        <v>20</v>
      </c>
      <c r="G1" s="8" t="s">
        <v>24</v>
      </c>
      <c r="H1" s="8" t="s">
        <v>40</v>
      </c>
      <c r="I1" s="8" t="s">
        <v>38</v>
      </c>
      <c r="J1" s="8" t="s">
        <v>377</v>
      </c>
      <c r="K1" s="8" t="s">
        <v>40</v>
      </c>
    </row>
    <row r="2">
      <c r="A2" s="59">
        <v>1.0</v>
      </c>
      <c r="B2" s="59" t="s">
        <v>379</v>
      </c>
      <c r="C2" s="59" t="s">
        <v>53</v>
      </c>
      <c r="D2" s="59" t="s">
        <v>127</v>
      </c>
      <c r="F2" s="59" t="s">
        <v>90</v>
      </c>
      <c r="G2" s="59" t="s">
        <v>380</v>
      </c>
      <c r="H2" s="59">
        <v>30923.0</v>
      </c>
      <c r="I2" s="59">
        <v>30923.0</v>
      </c>
      <c r="J2" s="84">
        <f t="shared" ref="J2:J6" si="1">H2-I2</f>
        <v>0</v>
      </c>
      <c r="K2" s="84">
        <f t="shared" ref="K2:K6" si="2">H2</f>
        <v>30923</v>
      </c>
    </row>
    <row r="3">
      <c r="A3" s="59">
        <v>2.0</v>
      </c>
      <c r="B3" s="59" t="s">
        <v>381</v>
      </c>
      <c r="C3" s="59" t="s">
        <v>126</v>
      </c>
      <c r="D3" s="59" t="s">
        <v>382</v>
      </c>
      <c r="F3" s="59" t="s">
        <v>90</v>
      </c>
      <c r="G3" s="59" t="s">
        <v>380</v>
      </c>
      <c r="H3" s="59">
        <v>57152.0</v>
      </c>
      <c r="I3" s="59">
        <v>57152.0</v>
      </c>
      <c r="J3" s="84">
        <f t="shared" si="1"/>
        <v>0</v>
      </c>
      <c r="K3" s="84">
        <f t="shared" si="2"/>
        <v>57152</v>
      </c>
    </row>
    <row r="4">
      <c r="A4" s="59">
        <v>3.0</v>
      </c>
      <c r="B4" s="59" t="s">
        <v>383</v>
      </c>
      <c r="C4" s="59" t="s">
        <v>182</v>
      </c>
      <c r="D4" s="59" t="s">
        <v>127</v>
      </c>
      <c r="F4" s="59" t="s">
        <v>90</v>
      </c>
      <c r="G4" s="59" t="s">
        <v>380</v>
      </c>
      <c r="H4" s="59">
        <v>97113.0</v>
      </c>
      <c r="I4" s="59">
        <v>70000.0</v>
      </c>
      <c r="J4" s="84">
        <f t="shared" si="1"/>
        <v>27113</v>
      </c>
      <c r="K4" s="84">
        <f t="shared" si="2"/>
        <v>97113</v>
      </c>
    </row>
    <row r="5">
      <c r="A5" s="59">
        <v>4.0</v>
      </c>
      <c r="B5" s="59" t="s">
        <v>381</v>
      </c>
      <c r="C5" s="59" t="s">
        <v>49</v>
      </c>
      <c r="D5" s="59" t="s">
        <v>382</v>
      </c>
      <c r="F5" s="59" t="s">
        <v>90</v>
      </c>
      <c r="G5" s="59" t="s">
        <v>179</v>
      </c>
      <c r="H5" s="59">
        <v>396561.0</v>
      </c>
      <c r="J5" s="84">
        <f t="shared" si="1"/>
        <v>396561</v>
      </c>
      <c r="K5" s="84">
        <f t="shared" si="2"/>
        <v>396561</v>
      </c>
    </row>
    <row r="6">
      <c r="J6" s="84">
        <f t="shared" si="1"/>
        <v>0</v>
      </c>
      <c r="K6" s="84" t="str">
        <f t="shared" si="2"/>
        <v/>
      </c>
    </row>
  </sheetData>
  <dataValidations>
    <dataValidation type="list" allowBlank="1" showErrorMessage="1" sqref="G2:G5">
      <formula1>"Cash to mahi,1st installment,2nd installment,pending"</formula1>
    </dataValidation>
    <dataValidation type="list" allowBlank="1" showErrorMessage="1" sqref="F2:F5">
      <formula1>"Site Visit,Material &amp; Team reached,Structure work,Panel,COMPLET"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2.5"/>
    <col customWidth="1" min="4" max="4" width="15.63"/>
    <col customWidth="1" min="7" max="7" width="21.63"/>
  </cols>
  <sheetData>
    <row r="1" ht="22.5" customHeight="1">
      <c r="A1" s="96" t="s">
        <v>391</v>
      </c>
      <c r="B1" s="96" t="s">
        <v>393</v>
      </c>
      <c r="C1" s="96" t="s">
        <v>4</v>
      </c>
      <c r="D1" s="96" t="s">
        <v>394</v>
      </c>
      <c r="F1" s="96" t="s">
        <v>391</v>
      </c>
      <c r="G1" s="96" t="s">
        <v>393</v>
      </c>
      <c r="H1" s="96" t="s">
        <v>4</v>
      </c>
      <c r="I1" s="96" t="s">
        <v>394</v>
      </c>
    </row>
    <row r="2" ht="22.5" customHeight="1">
      <c r="A2" s="98">
        <v>1.0</v>
      </c>
      <c r="B2" s="99" t="s">
        <v>119</v>
      </c>
      <c r="C2" s="100" t="s">
        <v>49</v>
      </c>
      <c r="D2" s="98">
        <v>3000.0</v>
      </c>
      <c r="F2" s="98">
        <v>1.0</v>
      </c>
      <c r="G2" s="99" t="s">
        <v>400</v>
      </c>
      <c r="H2" s="100" t="s">
        <v>49</v>
      </c>
      <c r="I2" s="98">
        <v>3000.0</v>
      </c>
    </row>
    <row r="3" ht="22.5" customHeight="1">
      <c r="A3" s="98">
        <v>2.0</v>
      </c>
      <c r="B3" s="99" t="s">
        <v>131</v>
      </c>
      <c r="C3" s="100" t="s">
        <v>49</v>
      </c>
      <c r="D3" s="98">
        <v>3000.0</v>
      </c>
      <c r="F3" s="98">
        <v>2.0</v>
      </c>
      <c r="G3" s="99" t="s">
        <v>132</v>
      </c>
      <c r="H3" s="100" t="s">
        <v>53</v>
      </c>
      <c r="I3" s="98">
        <v>5000.0</v>
      </c>
    </row>
    <row r="4" ht="22.5" customHeight="1">
      <c r="A4" s="98">
        <v>3.0</v>
      </c>
      <c r="B4" s="99" t="s">
        <v>139</v>
      </c>
      <c r="C4" s="100" t="s">
        <v>53</v>
      </c>
      <c r="D4" s="98">
        <v>5000.0</v>
      </c>
      <c r="F4" s="98">
        <v>3.0</v>
      </c>
      <c r="G4" s="99" t="s">
        <v>208</v>
      </c>
      <c r="H4" s="100" t="s">
        <v>49</v>
      </c>
      <c r="I4" s="98">
        <v>3000.0</v>
      </c>
    </row>
    <row r="5" ht="22.5" customHeight="1">
      <c r="A5" s="98">
        <v>4.0</v>
      </c>
      <c r="B5" s="99" t="s">
        <v>150</v>
      </c>
      <c r="C5" s="100" t="s">
        <v>53</v>
      </c>
      <c r="D5" s="98">
        <v>5000.0</v>
      </c>
      <c r="F5" s="98">
        <v>4.0</v>
      </c>
      <c r="G5" s="99" t="s">
        <v>418</v>
      </c>
      <c r="H5" s="100" t="s">
        <v>49</v>
      </c>
      <c r="I5" s="98">
        <v>3000.0</v>
      </c>
    </row>
    <row r="6" ht="22.5" customHeight="1">
      <c r="A6" s="98">
        <v>5.0</v>
      </c>
      <c r="B6" s="99" t="s">
        <v>156</v>
      </c>
      <c r="C6" s="100" t="s">
        <v>53</v>
      </c>
      <c r="D6" s="98">
        <v>5000.0</v>
      </c>
      <c r="F6" s="98">
        <v>5.0</v>
      </c>
      <c r="G6" s="99" t="s">
        <v>214</v>
      </c>
      <c r="H6" s="100" t="s">
        <v>49</v>
      </c>
      <c r="I6" s="98">
        <v>3000.0</v>
      </c>
    </row>
    <row r="7" ht="22.5" customHeight="1">
      <c r="A7" s="98">
        <v>6.0</v>
      </c>
      <c r="B7" s="103" t="s">
        <v>160</v>
      </c>
      <c r="C7" s="100" t="s">
        <v>49</v>
      </c>
      <c r="D7" s="98">
        <v>3000.0</v>
      </c>
      <c r="F7" s="98">
        <v>6.0</v>
      </c>
      <c r="G7" s="103" t="s">
        <v>296</v>
      </c>
      <c r="H7" s="100" t="s">
        <v>53</v>
      </c>
      <c r="I7" s="98">
        <v>5000.0</v>
      </c>
    </row>
    <row r="8" ht="22.5" customHeight="1">
      <c r="A8" s="98">
        <v>7.0</v>
      </c>
      <c r="B8" s="103" t="s">
        <v>164</v>
      </c>
      <c r="C8" s="100" t="s">
        <v>49</v>
      </c>
      <c r="D8" s="98">
        <v>3000.0</v>
      </c>
      <c r="F8" s="98">
        <v>7.0</v>
      </c>
      <c r="G8" s="103" t="s">
        <v>247</v>
      </c>
      <c r="H8" s="100" t="s">
        <v>49</v>
      </c>
      <c r="I8" s="98">
        <v>3000.0</v>
      </c>
    </row>
    <row r="9" ht="22.5" customHeight="1">
      <c r="A9" s="98">
        <v>8.0</v>
      </c>
      <c r="B9" s="99" t="s">
        <v>105</v>
      </c>
      <c r="C9" s="100" t="s">
        <v>49</v>
      </c>
      <c r="D9" s="98">
        <v>3000.0</v>
      </c>
      <c r="F9" s="98">
        <v>8.0</v>
      </c>
      <c r="G9" s="99" t="s">
        <v>284</v>
      </c>
      <c r="H9" s="100" t="s">
        <v>49</v>
      </c>
      <c r="I9" s="98">
        <v>3000.0</v>
      </c>
    </row>
    <row r="10" ht="22.5" customHeight="1">
      <c r="A10" s="98">
        <v>9.0</v>
      </c>
      <c r="B10" s="99" t="s">
        <v>125</v>
      </c>
      <c r="C10" s="100" t="s">
        <v>49</v>
      </c>
      <c r="D10" s="98">
        <v>3000.0</v>
      </c>
      <c r="F10" s="98">
        <v>9.0</v>
      </c>
      <c r="G10" s="99" t="s">
        <v>218</v>
      </c>
      <c r="H10" s="100" t="s">
        <v>49</v>
      </c>
      <c r="I10" s="98">
        <v>3000.0</v>
      </c>
    </row>
    <row r="11" ht="22.5" customHeight="1">
      <c r="A11" s="98">
        <v>10.0</v>
      </c>
      <c r="B11" s="99" t="s">
        <v>135</v>
      </c>
      <c r="C11" s="100" t="s">
        <v>49</v>
      </c>
      <c r="D11" s="98">
        <v>3000.0</v>
      </c>
      <c r="F11" s="98">
        <v>10.0</v>
      </c>
      <c r="G11" s="99" t="s">
        <v>443</v>
      </c>
      <c r="H11" s="100" t="s">
        <v>126</v>
      </c>
      <c r="I11" s="98">
        <v>6000.0</v>
      </c>
    </row>
    <row r="12" ht="22.5" customHeight="1">
      <c r="A12" s="98">
        <v>11.0</v>
      </c>
      <c r="B12" s="99" t="s">
        <v>147</v>
      </c>
      <c r="C12" s="100" t="s">
        <v>49</v>
      </c>
      <c r="D12" s="98">
        <v>3000.0</v>
      </c>
      <c r="F12" s="98">
        <v>11.0</v>
      </c>
      <c r="G12" s="99" t="s">
        <v>444</v>
      </c>
      <c r="H12" s="100" t="s">
        <v>49</v>
      </c>
      <c r="I12" s="98">
        <v>3000.0</v>
      </c>
    </row>
    <row r="13" ht="22.5" customHeight="1">
      <c r="A13" s="98">
        <v>12.0</v>
      </c>
      <c r="B13" s="103" t="s">
        <v>152</v>
      </c>
      <c r="C13" s="100" t="s">
        <v>49</v>
      </c>
      <c r="D13" s="98">
        <v>3000.0</v>
      </c>
      <c r="F13" s="98">
        <v>12.0</v>
      </c>
      <c r="G13" s="103" t="s">
        <v>445</v>
      </c>
      <c r="H13" s="100" t="s">
        <v>53</v>
      </c>
      <c r="I13" s="98">
        <v>5000.0</v>
      </c>
    </row>
    <row r="14" ht="22.5" customHeight="1">
      <c r="A14" s="98">
        <v>13.0</v>
      </c>
      <c r="B14" s="99" t="s">
        <v>159</v>
      </c>
      <c r="C14" s="100" t="s">
        <v>49</v>
      </c>
      <c r="D14" s="98">
        <v>3000.0</v>
      </c>
      <c r="F14" s="98">
        <v>13.0</v>
      </c>
      <c r="G14" s="99" t="s">
        <v>446</v>
      </c>
      <c r="H14" s="100" t="s">
        <v>53</v>
      </c>
      <c r="I14" s="98">
        <v>5000.0</v>
      </c>
    </row>
    <row r="15" ht="22.5" customHeight="1">
      <c r="A15" s="98">
        <v>14.0</v>
      </c>
      <c r="B15" s="103" t="s">
        <v>167</v>
      </c>
      <c r="C15" s="100" t="s">
        <v>49</v>
      </c>
      <c r="D15" s="98">
        <v>3000.0</v>
      </c>
      <c r="F15" s="98">
        <v>14.0</v>
      </c>
      <c r="G15" s="103" t="s">
        <v>228</v>
      </c>
      <c r="H15" s="100" t="s">
        <v>53</v>
      </c>
      <c r="I15" s="98">
        <v>5000.0</v>
      </c>
    </row>
    <row r="16" ht="22.5" customHeight="1">
      <c r="A16" s="98">
        <v>15.0</v>
      </c>
      <c r="B16" s="103" t="s">
        <v>173</v>
      </c>
      <c r="C16" s="100" t="s">
        <v>49</v>
      </c>
      <c r="D16" s="98">
        <v>3000.0</v>
      </c>
      <c r="F16" s="98">
        <v>15.0</v>
      </c>
      <c r="G16" s="103" t="s">
        <v>255</v>
      </c>
      <c r="H16" s="100" t="s">
        <v>126</v>
      </c>
      <c r="I16" s="98">
        <v>6000.0</v>
      </c>
    </row>
    <row r="17" ht="22.5" customHeight="1">
      <c r="A17" s="98">
        <v>16.0</v>
      </c>
      <c r="B17" s="103" t="s">
        <v>184</v>
      </c>
      <c r="C17" s="100" t="s">
        <v>49</v>
      </c>
      <c r="D17" s="98">
        <v>3000.0</v>
      </c>
      <c r="F17" s="98">
        <v>16.0</v>
      </c>
      <c r="G17" s="103" t="s">
        <v>447</v>
      </c>
      <c r="H17" s="100" t="s">
        <v>49</v>
      </c>
      <c r="I17" s="98">
        <v>3000.0</v>
      </c>
    </row>
    <row r="18" ht="22.5" customHeight="1">
      <c r="A18" s="98">
        <v>17.0</v>
      </c>
      <c r="B18" s="103" t="s">
        <v>195</v>
      </c>
      <c r="C18" s="100" t="s">
        <v>49</v>
      </c>
      <c r="D18" s="98">
        <v>3000.0</v>
      </c>
      <c r="F18" s="98">
        <v>17.0</v>
      </c>
      <c r="G18" s="103" t="s">
        <v>109</v>
      </c>
      <c r="H18" s="100" t="s">
        <v>49</v>
      </c>
      <c r="I18" s="98">
        <v>3000.0</v>
      </c>
    </row>
    <row r="19" ht="22.5" customHeight="1">
      <c r="A19" s="98">
        <v>18.0</v>
      </c>
      <c r="B19" s="100" t="s">
        <v>212</v>
      </c>
      <c r="C19" s="100" t="s">
        <v>49</v>
      </c>
      <c r="D19" s="98">
        <v>3000.0</v>
      </c>
      <c r="F19" s="98">
        <v>18.0</v>
      </c>
      <c r="G19" s="100" t="s">
        <v>235</v>
      </c>
      <c r="H19" s="100" t="s">
        <v>53</v>
      </c>
      <c r="I19" s="98">
        <v>5000.0</v>
      </c>
    </row>
    <row r="20" ht="22.5" customHeight="1">
      <c r="A20" s="98">
        <v>19.0</v>
      </c>
      <c r="B20" s="100" t="s">
        <v>114</v>
      </c>
      <c r="C20" s="100" t="s">
        <v>49</v>
      </c>
      <c r="D20" s="98">
        <v>3000.0</v>
      </c>
      <c r="F20" s="98">
        <v>19.0</v>
      </c>
      <c r="G20" s="100" t="s">
        <v>260</v>
      </c>
      <c r="H20" s="100" t="s">
        <v>49</v>
      </c>
      <c r="I20" s="98">
        <v>3000.0</v>
      </c>
    </row>
    <row r="21" ht="22.5" customHeight="1">
      <c r="A21" s="98">
        <v>20.0</v>
      </c>
      <c r="B21" s="100" t="s">
        <v>448</v>
      </c>
      <c r="C21" s="100" t="s">
        <v>53</v>
      </c>
      <c r="D21" s="98">
        <v>5000.0</v>
      </c>
      <c r="F21" s="98">
        <v>20.0</v>
      </c>
      <c r="G21" s="100" t="s">
        <v>449</v>
      </c>
      <c r="H21" s="100" t="s">
        <v>126</v>
      </c>
      <c r="I21" s="98">
        <v>6000.0</v>
      </c>
    </row>
    <row r="22" ht="22.5" customHeight="1">
      <c r="A22" s="98">
        <v>21.0</v>
      </c>
      <c r="B22" s="100" t="s">
        <v>450</v>
      </c>
      <c r="C22" s="100" t="s">
        <v>49</v>
      </c>
      <c r="D22" s="98">
        <v>3000.0</v>
      </c>
      <c r="F22" s="98">
        <v>21.0</v>
      </c>
      <c r="G22" s="100" t="s">
        <v>451</v>
      </c>
      <c r="H22" s="100" t="s">
        <v>49</v>
      </c>
      <c r="I22" s="98">
        <v>3000.0</v>
      </c>
    </row>
    <row r="23" ht="22.5" customHeight="1">
      <c r="A23" s="98">
        <v>22.0</v>
      </c>
      <c r="B23" s="100" t="s">
        <v>175</v>
      </c>
      <c r="C23" s="100" t="s">
        <v>53</v>
      </c>
      <c r="D23" s="98">
        <v>5000.0</v>
      </c>
      <c r="F23" s="98">
        <v>22.0</v>
      </c>
      <c r="G23" s="100" t="s">
        <v>452</v>
      </c>
      <c r="H23" s="100" t="s">
        <v>53</v>
      </c>
      <c r="I23" s="98">
        <v>5000.0</v>
      </c>
    </row>
    <row r="24" ht="22.5" customHeight="1">
      <c r="A24" s="98">
        <v>23.0</v>
      </c>
      <c r="B24" s="100" t="s">
        <v>453</v>
      </c>
      <c r="C24" s="100" t="s">
        <v>53</v>
      </c>
      <c r="D24" s="98">
        <v>5000.0</v>
      </c>
      <c r="F24" s="98">
        <v>23.0</v>
      </c>
      <c r="G24" s="100" t="s">
        <v>305</v>
      </c>
      <c r="H24" s="100" t="s">
        <v>49</v>
      </c>
      <c r="I24" s="98">
        <v>3000.0</v>
      </c>
    </row>
    <row r="25" ht="22.5" customHeight="1">
      <c r="A25" s="98">
        <v>24.0</v>
      </c>
      <c r="B25" s="100" t="s">
        <v>454</v>
      </c>
      <c r="C25" s="104" t="s">
        <v>126</v>
      </c>
      <c r="D25" s="98">
        <v>6000.0</v>
      </c>
      <c r="F25" s="98">
        <v>24.0</v>
      </c>
      <c r="H25" s="104" t="s">
        <v>126</v>
      </c>
      <c r="I25" s="98"/>
    </row>
    <row r="26" ht="22.5" customHeight="1">
      <c r="A26" s="98">
        <v>25.0</v>
      </c>
      <c r="B26" s="100" t="s">
        <v>455</v>
      </c>
      <c r="C26" s="104" t="s">
        <v>49</v>
      </c>
      <c r="D26" s="98">
        <v>3000.0</v>
      </c>
      <c r="F26" s="98">
        <v>25.0</v>
      </c>
      <c r="H26" s="104" t="s">
        <v>49</v>
      </c>
      <c r="I26" s="98"/>
    </row>
    <row r="27" ht="22.5" customHeight="1">
      <c r="A27" s="98">
        <v>26.0</v>
      </c>
      <c r="B27" s="100" t="s">
        <v>456</v>
      </c>
      <c r="C27" s="104" t="s">
        <v>49</v>
      </c>
      <c r="D27" s="98">
        <v>3000.0</v>
      </c>
      <c r="F27" s="98">
        <v>26.0</v>
      </c>
      <c r="H27" s="104" t="s">
        <v>49</v>
      </c>
      <c r="I27" s="98"/>
    </row>
    <row r="28" ht="22.5" customHeight="1">
      <c r="A28" s="98"/>
      <c r="C28" s="105"/>
      <c r="D28" s="106"/>
      <c r="F28" s="98"/>
      <c r="H28" s="105"/>
      <c r="I28" s="106"/>
    </row>
    <row r="29" ht="22.5" customHeight="1">
      <c r="A29" s="98"/>
      <c r="C29" s="105"/>
      <c r="D29" s="106"/>
      <c r="F29" s="98"/>
      <c r="H29" s="105"/>
      <c r="I29" s="106"/>
    </row>
    <row r="30" ht="22.5" customHeight="1">
      <c r="A30" s="98"/>
      <c r="C30" s="105"/>
      <c r="D30" s="106"/>
      <c r="F30" s="98"/>
      <c r="H30" s="105"/>
      <c r="I30" s="106"/>
    </row>
    <row r="31" ht="22.5" customHeight="1">
      <c r="A31" s="98"/>
      <c r="C31" s="105"/>
      <c r="D31" s="106"/>
      <c r="F31" s="98"/>
      <c r="H31" s="105"/>
      <c r="I31" s="106"/>
    </row>
    <row r="32" ht="22.5" customHeight="1">
      <c r="A32" s="98"/>
      <c r="C32" s="105"/>
      <c r="D32" s="106"/>
      <c r="F32" s="98"/>
      <c r="H32" s="105"/>
      <c r="I32" s="106"/>
    </row>
    <row r="33" ht="22.5" customHeight="1">
      <c r="A33" s="107"/>
      <c r="B33" s="108"/>
      <c r="C33" s="109"/>
      <c r="D33" s="110">
        <f>SUM(D2:D32)</f>
        <v>93000</v>
      </c>
      <c r="F33" s="107"/>
      <c r="G33" s="108"/>
      <c r="H33" s="109"/>
      <c r="I33" s="110">
        <f>SUM(I2:I32)</f>
        <v>92000</v>
      </c>
    </row>
    <row r="34" ht="22.5" customHeight="1">
      <c r="A34" s="111"/>
      <c r="B34" s="112"/>
      <c r="C34" s="113"/>
      <c r="D34" s="114">
        <v>28000.0</v>
      </c>
    </row>
    <row r="35" ht="22.5" customHeight="1">
      <c r="A35" s="111"/>
      <c r="B35" s="112"/>
      <c r="C35" s="113"/>
      <c r="D35" s="114">
        <v>52000.0</v>
      </c>
    </row>
    <row r="36" ht="22.5" customHeight="1">
      <c r="A36" s="111"/>
      <c r="B36" s="112"/>
      <c r="C36" s="113"/>
      <c r="D36" s="114">
        <v>115000.0</v>
      </c>
      <c r="F36" s="115">
        <f>D33+I33</f>
        <v>185000</v>
      </c>
    </row>
    <row r="37" ht="22.5" customHeight="1">
      <c r="A37" s="112"/>
      <c r="B37" s="112"/>
      <c r="C37" s="112"/>
      <c r="D37" s="114">
        <f>SUM(D34:D36)</f>
        <v>195000</v>
      </c>
    </row>
  </sheetData>
  <dataValidations>
    <dataValidation type="custom" allowBlank="1" showDropDown="1" sqref="F2:F33 I2:I33 A2:A36 D2:D36">
      <formula1>AND(ISNUMBER(A2),(NOT(OR(NOT(ISERROR(DATEVALUE(A2))), AND(ISNUMBER(A2), LEFT(CELL("format", A2))="D")))))</formula1>
    </dataValidation>
    <dataValidation type="list" allowBlank="1" sqref="H2:H33 C2:C36">
      <formula1>"3KW,5KW,6KW"</formula1>
    </dataValidation>
  </dataValidations>
  <drawing r:id="rId1"/>
  <tableParts count="2">
    <tablePart r:id="rId4"/>
    <tablePart r:id="rId5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5.13"/>
    <col customWidth="1" min="2" max="2" width="16.13"/>
    <col customWidth="1" min="3" max="3" width="18.5"/>
    <col customWidth="1" min="4" max="4" width="5.75"/>
    <col customWidth="1" min="5" max="5" width="12.5"/>
    <col customWidth="1" min="9" max="9" width="30.38"/>
  </cols>
  <sheetData>
    <row r="1">
      <c r="A1" s="7" t="s">
        <v>372</v>
      </c>
      <c r="B1" s="7" t="s">
        <v>2</v>
      </c>
      <c r="C1" s="7" t="s">
        <v>373</v>
      </c>
      <c r="D1" s="7" t="s">
        <v>4</v>
      </c>
      <c r="E1" s="7" t="s">
        <v>6</v>
      </c>
      <c r="F1" s="7" t="s">
        <v>7</v>
      </c>
      <c r="G1" s="90" t="s">
        <v>10</v>
      </c>
      <c r="H1" s="91" t="s">
        <v>9</v>
      </c>
      <c r="I1" s="91" t="s">
        <v>11</v>
      </c>
      <c r="J1" s="91" t="s">
        <v>384</v>
      </c>
      <c r="K1" s="91" t="s">
        <v>385</v>
      </c>
      <c r="L1" s="91" t="s">
        <v>15</v>
      </c>
      <c r="M1" s="94" t="s">
        <v>6</v>
      </c>
      <c r="N1" s="8" t="s">
        <v>55</v>
      </c>
      <c r="O1" s="8" t="s">
        <v>30</v>
      </c>
      <c r="P1" s="8" t="s">
        <v>32</v>
      </c>
      <c r="Q1" s="8" t="s">
        <v>34</v>
      </c>
      <c r="R1" s="8" t="s">
        <v>22</v>
      </c>
      <c r="S1" s="8" t="s">
        <v>37</v>
      </c>
      <c r="T1" s="94" t="s">
        <v>386</v>
      </c>
      <c r="U1" s="94" t="s">
        <v>25</v>
      </c>
      <c r="V1" s="94" t="s">
        <v>387</v>
      </c>
      <c r="W1" s="94" t="s">
        <v>388</v>
      </c>
    </row>
    <row r="2">
      <c r="A2" s="59">
        <v>1.0</v>
      </c>
      <c r="B2" s="59" t="s">
        <v>389</v>
      </c>
      <c r="C2" s="15" t="s">
        <v>390</v>
      </c>
      <c r="D2" s="59" t="s">
        <v>49</v>
      </c>
      <c r="G2" s="51">
        <v>2.10172021468E11</v>
      </c>
      <c r="H2" s="51">
        <v>9.11668799E9</v>
      </c>
      <c r="I2" s="95"/>
      <c r="N2" s="73" t="s">
        <v>57</v>
      </c>
      <c r="O2" s="73" t="s">
        <v>56</v>
      </c>
      <c r="P2" s="73" t="s">
        <v>60</v>
      </c>
      <c r="Q2" s="50" t="s">
        <v>392</v>
      </c>
      <c r="R2" s="50" t="s">
        <v>63</v>
      </c>
      <c r="S2" s="50" t="s">
        <v>278</v>
      </c>
    </row>
    <row r="3" ht="19.5" customHeight="1">
      <c r="A3" s="59">
        <v>2.0</v>
      </c>
      <c r="B3" s="59" t="s">
        <v>389</v>
      </c>
      <c r="C3" s="15" t="s">
        <v>156</v>
      </c>
      <c r="D3" s="59" t="s">
        <v>49</v>
      </c>
      <c r="E3" s="59" t="s">
        <v>395</v>
      </c>
      <c r="F3" s="59" t="s">
        <v>396</v>
      </c>
      <c r="G3" s="51">
        <v>2.11912010326E11</v>
      </c>
      <c r="H3" s="51">
        <v>9.460734745E9</v>
      </c>
      <c r="I3" s="95"/>
      <c r="N3" s="73" t="s">
        <v>57</v>
      </c>
      <c r="O3" s="73" t="s">
        <v>56</v>
      </c>
      <c r="P3" s="73" t="s">
        <v>60</v>
      </c>
      <c r="Q3" s="50" t="s">
        <v>392</v>
      </c>
      <c r="R3" s="50" t="s">
        <v>63</v>
      </c>
      <c r="S3" s="50" t="s">
        <v>278</v>
      </c>
    </row>
    <row r="4">
      <c r="A4" s="59">
        <v>3.0</v>
      </c>
      <c r="B4" s="59" t="s">
        <v>389</v>
      </c>
      <c r="C4" s="15" t="s">
        <v>397</v>
      </c>
      <c r="D4" s="59" t="s">
        <v>49</v>
      </c>
      <c r="E4" s="59" t="s">
        <v>395</v>
      </c>
      <c r="F4" s="59" t="s">
        <v>396</v>
      </c>
      <c r="G4" s="51">
        <v>2.11912010317E11</v>
      </c>
      <c r="H4" s="51">
        <v>9.460310316E9</v>
      </c>
      <c r="I4" s="97"/>
      <c r="N4" s="73" t="s">
        <v>57</v>
      </c>
      <c r="O4" s="72" t="s">
        <v>71</v>
      </c>
      <c r="P4" s="73" t="s">
        <v>60</v>
      </c>
      <c r="Q4" s="50" t="s">
        <v>392</v>
      </c>
      <c r="R4" s="50" t="s">
        <v>63</v>
      </c>
      <c r="S4" s="50" t="s">
        <v>278</v>
      </c>
    </row>
    <row r="5">
      <c r="A5" s="59">
        <v>4.0</v>
      </c>
      <c r="B5" s="59" t="s">
        <v>389</v>
      </c>
      <c r="C5" s="15" t="s">
        <v>398</v>
      </c>
      <c r="D5" s="59" t="s">
        <v>49</v>
      </c>
      <c r="E5" s="59" t="s">
        <v>395</v>
      </c>
      <c r="F5" s="59" t="s">
        <v>396</v>
      </c>
      <c r="G5" s="51">
        <v>2.11912042922E11</v>
      </c>
      <c r="H5" s="51">
        <v>8.561811748E9</v>
      </c>
      <c r="I5" s="15" t="s">
        <v>399</v>
      </c>
      <c r="N5" s="73" t="s">
        <v>57</v>
      </c>
      <c r="O5" s="73" t="s">
        <v>56</v>
      </c>
      <c r="P5" s="73" t="s">
        <v>60</v>
      </c>
      <c r="Q5" s="50" t="s">
        <v>392</v>
      </c>
      <c r="R5" s="50" t="s">
        <v>63</v>
      </c>
      <c r="S5" s="50" t="s">
        <v>278</v>
      </c>
    </row>
    <row r="6">
      <c r="A6" s="59">
        <v>5.0</v>
      </c>
      <c r="B6" s="101" t="s">
        <v>401</v>
      </c>
      <c r="C6" s="15" t="s">
        <v>402</v>
      </c>
      <c r="D6" s="59" t="s">
        <v>49</v>
      </c>
      <c r="G6" s="97"/>
      <c r="H6" s="51">
        <v>9.413787604E9</v>
      </c>
      <c r="I6" s="102" t="s">
        <v>403</v>
      </c>
      <c r="N6" s="73" t="s">
        <v>57</v>
      </c>
      <c r="O6" s="73" t="s">
        <v>56</v>
      </c>
      <c r="P6" s="73" t="s">
        <v>60</v>
      </c>
      <c r="Q6" s="50" t="s">
        <v>392</v>
      </c>
      <c r="R6" s="50" t="s">
        <v>63</v>
      </c>
      <c r="S6" s="50" t="s">
        <v>278</v>
      </c>
    </row>
    <row r="7">
      <c r="A7" s="59">
        <v>6.0</v>
      </c>
      <c r="B7" s="101" t="s">
        <v>401</v>
      </c>
      <c r="C7" s="15" t="s">
        <v>404</v>
      </c>
      <c r="D7" s="59" t="s">
        <v>49</v>
      </c>
      <c r="E7" s="59" t="s">
        <v>405</v>
      </c>
      <c r="F7" s="59" t="s">
        <v>406</v>
      </c>
      <c r="G7" s="51">
        <v>2.10172034373E11</v>
      </c>
      <c r="H7" s="51">
        <v>9.783218887E9</v>
      </c>
      <c r="I7" s="97"/>
      <c r="N7" s="73" t="s">
        <v>57</v>
      </c>
      <c r="O7" s="73" t="s">
        <v>56</v>
      </c>
      <c r="P7" s="73" t="s">
        <v>60</v>
      </c>
      <c r="Q7" s="50" t="s">
        <v>392</v>
      </c>
      <c r="R7" s="50" t="s">
        <v>63</v>
      </c>
      <c r="S7" s="50" t="s">
        <v>278</v>
      </c>
    </row>
    <row r="8">
      <c r="A8" s="59">
        <v>7.0</v>
      </c>
      <c r="B8" s="59" t="s">
        <v>407</v>
      </c>
      <c r="C8" s="15" t="s">
        <v>408</v>
      </c>
      <c r="D8" s="59" t="s">
        <v>49</v>
      </c>
      <c r="E8" s="59" t="s">
        <v>405</v>
      </c>
      <c r="F8" s="59" t="s">
        <v>409</v>
      </c>
      <c r="G8" s="51">
        <v>2.10132015714E11</v>
      </c>
      <c r="H8" s="51">
        <v>9.982003851E9</v>
      </c>
      <c r="I8" s="102" t="s">
        <v>410</v>
      </c>
      <c r="N8" s="72" t="s">
        <v>55</v>
      </c>
      <c r="O8" s="72" t="s">
        <v>71</v>
      </c>
      <c r="P8" s="73" t="s">
        <v>60</v>
      </c>
      <c r="Q8" s="50" t="s">
        <v>392</v>
      </c>
      <c r="R8" s="50" t="s">
        <v>63</v>
      </c>
      <c r="S8" s="50" t="s">
        <v>278</v>
      </c>
    </row>
    <row r="9">
      <c r="A9" s="59">
        <v>8.0</v>
      </c>
      <c r="B9" s="59" t="s">
        <v>28</v>
      </c>
      <c r="C9" s="15" t="s">
        <v>411</v>
      </c>
      <c r="D9" s="59" t="s">
        <v>49</v>
      </c>
      <c r="E9" s="59" t="s">
        <v>405</v>
      </c>
      <c r="F9" s="59" t="s">
        <v>409</v>
      </c>
      <c r="G9" s="51">
        <v>2.10132022443E11</v>
      </c>
      <c r="H9" s="51">
        <v>7.732852247E9</v>
      </c>
      <c r="I9" s="15" t="s">
        <v>412</v>
      </c>
      <c r="N9" s="72" t="s">
        <v>55</v>
      </c>
      <c r="O9" s="72" t="s">
        <v>71</v>
      </c>
      <c r="P9" s="73" t="s">
        <v>60</v>
      </c>
      <c r="Q9" s="50" t="s">
        <v>392</v>
      </c>
      <c r="R9" s="50" t="s">
        <v>63</v>
      </c>
      <c r="S9" s="50" t="s">
        <v>278</v>
      </c>
    </row>
    <row r="10">
      <c r="A10" s="59">
        <v>9.0</v>
      </c>
      <c r="B10" s="59" t="s">
        <v>28</v>
      </c>
      <c r="C10" s="15" t="s">
        <v>413</v>
      </c>
      <c r="D10" s="59" t="s">
        <v>49</v>
      </c>
      <c r="E10" s="59" t="s">
        <v>405</v>
      </c>
      <c r="F10" s="59" t="s">
        <v>409</v>
      </c>
      <c r="G10" s="51">
        <v>2.10132017089E11</v>
      </c>
      <c r="H10" s="51">
        <v>7.073295214E9</v>
      </c>
      <c r="I10" s="102" t="s">
        <v>414</v>
      </c>
      <c r="N10" s="72" t="s">
        <v>55</v>
      </c>
      <c r="O10" s="72" t="s">
        <v>71</v>
      </c>
      <c r="P10" s="73" t="s">
        <v>60</v>
      </c>
      <c r="Q10" s="50" t="s">
        <v>392</v>
      </c>
      <c r="R10" s="50" t="s">
        <v>63</v>
      </c>
      <c r="S10" s="50" t="s">
        <v>278</v>
      </c>
    </row>
    <row r="11">
      <c r="A11" s="59">
        <v>10.0</v>
      </c>
      <c r="B11" s="59" t="s">
        <v>407</v>
      </c>
      <c r="C11" s="15" t="s">
        <v>415</v>
      </c>
      <c r="D11" s="59" t="s">
        <v>49</v>
      </c>
      <c r="E11" s="59" t="s">
        <v>405</v>
      </c>
      <c r="F11" s="59" t="s">
        <v>416</v>
      </c>
      <c r="G11" s="51">
        <v>2.10117029588E11</v>
      </c>
      <c r="H11" s="51">
        <v>9.694227425E9</v>
      </c>
      <c r="I11" s="102" t="s">
        <v>417</v>
      </c>
      <c r="N11" s="72" t="s">
        <v>55</v>
      </c>
      <c r="O11" s="72" t="s">
        <v>71</v>
      </c>
      <c r="P11" s="73" t="s">
        <v>60</v>
      </c>
      <c r="Q11" s="50" t="s">
        <v>392</v>
      </c>
      <c r="R11" s="50" t="s">
        <v>63</v>
      </c>
      <c r="S11" s="50" t="s">
        <v>278</v>
      </c>
    </row>
    <row r="12">
      <c r="A12" s="59">
        <v>11.0</v>
      </c>
      <c r="B12" s="59" t="s">
        <v>419</v>
      </c>
      <c r="C12" s="15" t="s">
        <v>420</v>
      </c>
      <c r="D12" s="59" t="s">
        <v>49</v>
      </c>
      <c r="E12" s="59" t="s">
        <v>405</v>
      </c>
      <c r="F12" s="59" t="s">
        <v>421</v>
      </c>
      <c r="G12" s="51">
        <v>2.11911011092E11</v>
      </c>
      <c r="H12" s="51">
        <v>8.920644244E9</v>
      </c>
      <c r="I12" s="97"/>
      <c r="N12" s="72" t="s">
        <v>55</v>
      </c>
      <c r="O12" s="72" t="s">
        <v>71</v>
      </c>
      <c r="P12" s="73" t="s">
        <v>60</v>
      </c>
      <c r="Q12" s="50" t="s">
        <v>392</v>
      </c>
      <c r="R12" s="50" t="s">
        <v>63</v>
      </c>
      <c r="S12" s="50" t="s">
        <v>278</v>
      </c>
    </row>
    <row r="13">
      <c r="A13" s="59">
        <v>12.0</v>
      </c>
      <c r="B13" s="59" t="s">
        <v>28</v>
      </c>
      <c r="C13" s="15" t="s">
        <v>422</v>
      </c>
      <c r="D13" s="59" t="s">
        <v>49</v>
      </c>
      <c r="E13" s="59" t="s">
        <v>405</v>
      </c>
      <c r="F13" s="59" t="s">
        <v>409</v>
      </c>
      <c r="G13" s="51">
        <v>2.10132028641E11</v>
      </c>
      <c r="H13" s="51">
        <v>7.689810199E9</v>
      </c>
      <c r="I13" s="15" t="s">
        <v>423</v>
      </c>
      <c r="N13" s="72" t="s">
        <v>55</v>
      </c>
      <c r="O13" s="73" t="s">
        <v>56</v>
      </c>
      <c r="P13" s="73" t="s">
        <v>60</v>
      </c>
      <c r="Q13" s="50" t="s">
        <v>392</v>
      </c>
      <c r="R13" s="50" t="s">
        <v>63</v>
      </c>
      <c r="S13" s="50" t="s">
        <v>278</v>
      </c>
    </row>
    <row r="14">
      <c r="A14" s="59">
        <v>13.0</v>
      </c>
      <c r="B14" s="59" t="s">
        <v>28</v>
      </c>
      <c r="C14" s="15" t="s">
        <v>424</v>
      </c>
      <c r="D14" s="59" t="s">
        <v>49</v>
      </c>
      <c r="E14" s="59" t="s">
        <v>405</v>
      </c>
      <c r="F14" s="59" t="s">
        <v>406</v>
      </c>
      <c r="G14" s="51">
        <v>2.10172021765E11</v>
      </c>
      <c r="H14" s="51">
        <v>9.772036747E9</v>
      </c>
      <c r="I14" s="97"/>
      <c r="N14" s="72" t="s">
        <v>55</v>
      </c>
      <c r="O14" s="72" t="s">
        <v>71</v>
      </c>
      <c r="P14" s="73" t="s">
        <v>60</v>
      </c>
      <c r="Q14" s="50" t="s">
        <v>392</v>
      </c>
      <c r="R14" s="50" t="s">
        <v>63</v>
      </c>
      <c r="S14" s="50" t="s">
        <v>278</v>
      </c>
    </row>
    <row r="15">
      <c r="A15" s="59">
        <v>14.0</v>
      </c>
      <c r="B15" s="59" t="s">
        <v>425</v>
      </c>
      <c r="C15" s="15" t="s">
        <v>426</v>
      </c>
      <c r="D15" s="59" t="s">
        <v>49</v>
      </c>
      <c r="E15" s="59" t="s">
        <v>405</v>
      </c>
      <c r="F15" s="59" t="s">
        <v>406</v>
      </c>
      <c r="G15" s="51">
        <v>2.10172037684E11</v>
      </c>
      <c r="H15" s="51">
        <v>7.689873281E9</v>
      </c>
      <c r="I15" s="97"/>
      <c r="N15" s="72" t="s">
        <v>55</v>
      </c>
      <c r="O15" s="73" t="s">
        <v>56</v>
      </c>
      <c r="P15" s="73" t="s">
        <v>60</v>
      </c>
      <c r="Q15" s="50" t="s">
        <v>392</v>
      </c>
      <c r="R15" s="50" t="s">
        <v>63</v>
      </c>
      <c r="S15" s="50" t="s">
        <v>278</v>
      </c>
    </row>
    <row r="16">
      <c r="A16" s="59">
        <v>15.0</v>
      </c>
      <c r="B16" s="59" t="s">
        <v>28</v>
      </c>
      <c r="C16" s="15" t="s">
        <v>427</v>
      </c>
      <c r="D16" s="59" t="s">
        <v>49</v>
      </c>
      <c r="E16" s="59" t="s">
        <v>405</v>
      </c>
      <c r="F16" s="59" t="s">
        <v>406</v>
      </c>
      <c r="G16" s="51">
        <v>2.10172037685E11</v>
      </c>
      <c r="H16" s="51">
        <v>6.375622327E9</v>
      </c>
      <c r="I16" s="97"/>
      <c r="N16" s="72" t="s">
        <v>55</v>
      </c>
      <c r="O16" s="73" t="s">
        <v>56</v>
      </c>
      <c r="P16" s="73" t="s">
        <v>60</v>
      </c>
      <c r="Q16" s="50" t="s">
        <v>392</v>
      </c>
      <c r="R16" s="50" t="s">
        <v>63</v>
      </c>
      <c r="S16" s="50" t="s">
        <v>278</v>
      </c>
    </row>
    <row r="17">
      <c r="A17" s="59">
        <v>16.0</v>
      </c>
      <c r="B17" s="59" t="s">
        <v>28</v>
      </c>
      <c r="C17" s="15" t="s">
        <v>428</v>
      </c>
      <c r="D17" s="59" t="s">
        <v>49</v>
      </c>
      <c r="E17" s="59" t="s">
        <v>405</v>
      </c>
      <c r="F17" s="59" t="s">
        <v>409</v>
      </c>
      <c r="G17" s="51">
        <v>2.10132024207E11</v>
      </c>
      <c r="H17" s="51">
        <v>7.734044736E9</v>
      </c>
      <c r="I17" s="15" t="s">
        <v>429</v>
      </c>
      <c r="N17" s="72" t="s">
        <v>55</v>
      </c>
      <c r="O17" s="72" t="s">
        <v>71</v>
      </c>
      <c r="P17" s="73" t="s">
        <v>60</v>
      </c>
      <c r="Q17" s="50" t="s">
        <v>392</v>
      </c>
      <c r="R17" s="50" t="s">
        <v>63</v>
      </c>
      <c r="S17" s="50" t="s">
        <v>278</v>
      </c>
    </row>
    <row r="18">
      <c r="A18" s="59">
        <v>17.0</v>
      </c>
      <c r="B18" s="59" t="s">
        <v>28</v>
      </c>
      <c r="C18" s="15" t="s">
        <v>430</v>
      </c>
      <c r="D18" s="59" t="s">
        <v>49</v>
      </c>
      <c r="E18" s="59" t="s">
        <v>405</v>
      </c>
      <c r="F18" s="59" t="s">
        <v>409</v>
      </c>
      <c r="G18" s="51">
        <v>2.10132015841E11</v>
      </c>
      <c r="H18" s="51">
        <v>8.302785264E9</v>
      </c>
      <c r="I18" s="15" t="s">
        <v>431</v>
      </c>
      <c r="N18" s="72" t="s">
        <v>55</v>
      </c>
      <c r="O18" s="72" t="s">
        <v>71</v>
      </c>
      <c r="P18" s="73" t="s">
        <v>60</v>
      </c>
      <c r="Q18" s="50" t="s">
        <v>392</v>
      </c>
      <c r="R18" s="50" t="s">
        <v>63</v>
      </c>
      <c r="S18" s="50" t="s">
        <v>278</v>
      </c>
    </row>
    <row r="19">
      <c r="A19" s="59">
        <v>18.0</v>
      </c>
      <c r="B19" s="59" t="s">
        <v>28</v>
      </c>
      <c r="C19" s="15" t="s">
        <v>432</v>
      </c>
      <c r="D19" s="59" t="s">
        <v>49</v>
      </c>
      <c r="E19" s="59" t="s">
        <v>433</v>
      </c>
      <c r="F19" s="59" t="s">
        <v>434</v>
      </c>
      <c r="G19" s="51">
        <v>2.11921049537E11</v>
      </c>
      <c r="H19" s="51">
        <v>7.339877186E9</v>
      </c>
      <c r="I19" s="15" t="s">
        <v>435</v>
      </c>
      <c r="N19" s="72" t="s">
        <v>55</v>
      </c>
      <c r="O19" s="72" t="s">
        <v>71</v>
      </c>
      <c r="P19" s="73" t="s">
        <v>60</v>
      </c>
      <c r="Q19" s="50" t="s">
        <v>392</v>
      </c>
      <c r="R19" s="50" t="s">
        <v>63</v>
      </c>
      <c r="S19" s="50" t="s">
        <v>278</v>
      </c>
    </row>
    <row r="20">
      <c r="A20" s="59">
        <v>19.0</v>
      </c>
      <c r="C20" s="15" t="s">
        <v>436</v>
      </c>
      <c r="D20" s="59" t="s">
        <v>49</v>
      </c>
      <c r="G20" s="51">
        <v>2.10261019912E11</v>
      </c>
      <c r="H20" s="97"/>
      <c r="I20" s="97"/>
      <c r="N20" s="73" t="s">
        <v>57</v>
      </c>
      <c r="O20" s="73" t="s">
        <v>56</v>
      </c>
      <c r="P20" s="73" t="s">
        <v>60</v>
      </c>
      <c r="Q20" s="50" t="s">
        <v>392</v>
      </c>
      <c r="R20" s="50" t="s">
        <v>63</v>
      </c>
      <c r="S20" s="50" t="s">
        <v>278</v>
      </c>
    </row>
    <row r="21">
      <c r="A21" s="59">
        <v>20.0</v>
      </c>
      <c r="C21" s="15" t="s">
        <v>437</v>
      </c>
      <c r="D21" s="59" t="s">
        <v>49</v>
      </c>
      <c r="G21" s="97"/>
      <c r="H21" s="97"/>
      <c r="I21" s="97"/>
      <c r="N21" s="73" t="s">
        <v>57</v>
      </c>
      <c r="O21" s="73" t="s">
        <v>56</v>
      </c>
      <c r="P21" s="73" t="s">
        <v>60</v>
      </c>
      <c r="Q21" s="50" t="s">
        <v>392</v>
      </c>
      <c r="R21" s="50" t="s">
        <v>63</v>
      </c>
      <c r="S21" s="50" t="s">
        <v>278</v>
      </c>
    </row>
    <row r="22">
      <c r="A22" s="59">
        <v>21.0</v>
      </c>
      <c r="C22" s="15" t="s">
        <v>438</v>
      </c>
      <c r="D22" s="59" t="s">
        <v>49</v>
      </c>
      <c r="G22" s="51">
        <v>2.10173020278E11</v>
      </c>
      <c r="H22" s="51">
        <v>8.290214187E9</v>
      </c>
      <c r="I22" s="15" t="s">
        <v>439</v>
      </c>
      <c r="N22" s="73" t="s">
        <v>57</v>
      </c>
      <c r="O22" s="73" t="s">
        <v>56</v>
      </c>
      <c r="P22" s="73" t="s">
        <v>60</v>
      </c>
      <c r="Q22" s="50" t="s">
        <v>392</v>
      </c>
      <c r="R22" s="50" t="s">
        <v>63</v>
      </c>
      <c r="S22" s="50" t="s">
        <v>278</v>
      </c>
    </row>
    <row r="23">
      <c r="A23" s="59">
        <v>22.0</v>
      </c>
      <c r="C23" s="59" t="s">
        <v>440</v>
      </c>
      <c r="D23" s="59" t="s">
        <v>49</v>
      </c>
      <c r="E23" s="59" t="s">
        <v>405</v>
      </c>
      <c r="F23" s="59" t="s">
        <v>441</v>
      </c>
      <c r="G23" s="59">
        <v>2.10131020572E11</v>
      </c>
      <c r="H23" s="59" t="s">
        <v>442</v>
      </c>
      <c r="N23" s="73" t="s">
        <v>57</v>
      </c>
      <c r="O23" s="72" t="s">
        <v>71</v>
      </c>
      <c r="P23" s="73" t="s">
        <v>60</v>
      </c>
      <c r="Q23" s="50" t="s">
        <v>392</v>
      </c>
      <c r="R23" s="50" t="s">
        <v>63</v>
      </c>
      <c r="S23" s="50" t="s">
        <v>278</v>
      </c>
    </row>
    <row r="24">
      <c r="N24" s="73" t="s">
        <v>57</v>
      </c>
      <c r="O24" s="73" t="s">
        <v>56</v>
      </c>
      <c r="P24" s="73" t="s">
        <v>60</v>
      </c>
      <c r="Q24" s="50" t="s">
        <v>392</v>
      </c>
      <c r="R24" s="50" t="s">
        <v>63</v>
      </c>
      <c r="S24" s="50" t="s">
        <v>278</v>
      </c>
    </row>
    <row r="25">
      <c r="N25" s="73" t="s">
        <v>57</v>
      </c>
      <c r="O25" s="73" t="s">
        <v>56</v>
      </c>
      <c r="P25" s="73" t="s">
        <v>60</v>
      </c>
      <c r="Q25" s="50" t="s">
        <v>392</v>
      </c>
      <c r="R25" s="50" t="s">
        <v>63</v>
      </c>
      <c r="S25" s="50" t="s">
        <v>278</v>
      </c>
    </row>
    <row r="26">
      <c r="N26" s="73" t="s">
        <v>57</v>
      </c>
      <c r="O26" s="73" t="s">
        <v>56</v>
      </c>
      <c r="P26" s="73" t="s">
        <v>60</v>
      </c>
      <c r="Q26" s="50" t="s">
        <v>392</v>
      </c>
      <c r="R26" s="50" t="s">
        <v>63</v>
      </c>
      <c r="S26" s="50" t="s">
        <v>278</v>
      </c>
    </row>
    <row r="27">
      <c r="N27" s="73" t="s">
        <v>57</v>
      </c>
      <c r="O27" s="73" t="s">
        <v>56</v>
      </c>
      <c r="P27" s="73" t="s">
        <v>60</v>
      </c>
      <c r="Q27" s="50" t="s">
        <v>392</v>
      </c>
      <c r="R27" s="50" t="s">
        <v>63</v>
      </c>
      <c r="S27" s="50" t="s">
        <v>278</v>
      </c>
    </row>
    <row r="28">
      <c r="N28" s="73" t="s">
        <v>57</v>
      </c>
      <c r="O28" s="73" t="s">
        <v>56</v>
      </c>
      <c r="P28" s="73" t="s">
        <v>60</v>
      </c>
      <c r="Q28" s="50" t="s">
        <v>392</v>
      </c>
      <c r="R28" s="50" t="s">
        <v>63</v>
      </c>
      <c r="S28" s="50" t="s">
        <v>278</v>
      </c>
    </row>
    <row r="29">
      <c r="N29" s="73" t="s">
        <v>57</v>
      </c>
      <c r="O29" s="73" t="s">
        <v>56</v>
      </c>
      <c r="P29" s="73" t="s">
        <v>60</v>
      </c>
      <c r="Q29" s="50" t="s">
        <v>392</v>
      </c>
      <c r="R29" s="50" t="s">
        <v>63</v>
      </c>
      <c r="S29" s="50" t="s">
        <v>278</v>
      </c>
    </row>
    <row r="30">
      <c r="N30" s="73" t="s">
        <v>57</v>
      </c>
      <c r="O30" s="73" t="s">
        <v>56</v>
      </c>
      <c r="P30" s="73" t="s">
        <v>60</v>
      </c>
      <c r="Q30" s="50" t="s">
        <v>392</v>
      </c>
      <c r="R30" s="50" t="s">
        <v>63</v>
      </c>
      <c r="S30" s="50" t="s">
        <v>278</v>
      </c>
    </row>
    <row r="31">
      <c r="N31" s="73" t="s">
        <v>57</v>
      </c>
      <c r="O31" s="73" t="s">
        <v>56</v>
      </c>
      <c r="P31" s="73" t="s">
        <v>60</v>
      </c>
      <c r="Q31" s="50" t="s">
        <v>392</v>
      </c>
      <c r="R31" s="50" t="s">
        <v>63</v>
      </c>
      <c r="S31" s="50" t="s">
        <v>278</v>
      </c>
    </row>
  </sheetData>
  <dataValidations>
    <dataValidation type="list" allowBlank="1" showErrorMessage="1" sqref="S2:S31">
      <formula1>"Cash to mahi,1st installment,2nd installment,pending"</formula1>
    </dataValidation>
    <dataValidation type="list" allowBlank="1" showErrorMessage="1" sqref="N2:N31">
      <formula1>"Doc Recieved,File login,COMPLET"</formula1>
    </dataValidation>
    <dataValidation type="list" allowBlank="1" showErrorMessage="1" sqref="P2:P31">
      <formula1>"Loan apply,File prepare,File into bank,Loan approved,Loan Rejected,CASH FILE"</formula1>
    </dataValidation>
    <dataValidation type="list" allowBlank="1" showErrorMessage="1" sqref="Q2:Q31">
      <formula1>"Site Visit,Material &amp; Team reached,Structure work,Panel"</formula1>
    </dataValidation>
    <dataValidation type="list" allowBlank="1" showErrorMessage="1" sqref="R2:R31">
      <formula1>"Pending,Meter &amp; File submit DISCOM,Net Metering,Subsidy apply with site photo,Subsidy granted"</formula1>
    </dataValidation>
    <dataValidation type="list" allowBlank="1" showErrorMessage="1" sqref="O2:O31">
      <formula1>"Center (78K),Both (78 + 17),WITH OUT SUBSIDY"</formula1>
    </dataValidation>
  </dataValidations>
  <hyperlinks>
    <hyperlink r:id="rId1" ref="G1"/>
    <hyperlink r:id="rId2" ref="I10"/>
    <hyperlink r:id="rId3" ref="I11"/>
  </hyperlinks>
  <drawing r:id="rId4"/>
</worksheet>
</file>