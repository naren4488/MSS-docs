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S res" sheetId="1" r:id="rId5"/>
    <sheet state="visible" name="SHRIPAL JI" sheetId="2" r:id="rId6"/>
    <sheet state="visible" name="SATAYNARAYAN JI" sheetId="3" r:id="rId7"/>
    <sheet state="visible" name="Rohit (RJ GREEN)" sheetId="4" r:id="rId8"/>
    <sheet state="visible" name="CALL TEAM SITE" sheetId="5" r:id="rId9"/>
    <sheet state="visible" name="POORAN JI " sheetId="6" r:id="rId10"/>
    <sheet state="visible" name="Ajay (everest)" sheetId="7" r:id="rId11"/>
    <sheet state="visible" name="RAVI JI SITES" sheetId="8" r:id="rId12"/>
    <sheet state="visible" name="ravi inc " sheetId="9" r:id="rId13"/>
    <sheet state="visible" name="dilkhush inc " sheetId="10" r:id="rId14"/>
    <sheet state="visible" name="ROHIT JI PHULERA" sheetId="11" r:id="rId15"/>
    <sheet state="visible" name="JITENDRA JI" sheetId="12" r:id="rId16"/>
    <sheet state="visible" name="KAVITA MAM" sheetId="13" r:id="rId17"/>
    <sheet state="visible" name="SUNNY JI" sheetId="14" r:id="rId18"/>
    <sheet state="visible" name="DHERAJ JI SITES" sheetId="15" r:id="rId19"/>
    <sheet state="visible" name="ALWAR SITES" sheetId="16" r:id="rId20"/>
    <sheet state="visible" name="summary" sheetId="17" r:id="rId21"/>
  </sheets>
  <definedNames/>
  <calcPr/>
</workbook>
</file>

<file path=xl/sharedStrings.xml><?xml version="1.0" encoding="utf-8"?>
<sst xmlns="http://schemas.openxmlformats.org/spreadsheetml/2006/main" count="3634" uniqueCount="903">
  <si>
    <t>NO</t>
  </si>
  <si>
    <t xml:space="preserve">  </t>
  </si>
  <si>
    <t>update</t>
  </si>
  <si>
    <t>UPDATE</t>
  </si>
  <si>
    <t>NAME</t>
  </si>
  <si>
    <t>KW</t>
  </si>
  <si>
    <t>PH</t>
  </si>
  <si>
    <t>BANK</t>
  </si>
  <si>
    <t>LOCATION</t>
  </si>
  <si>
    <t xml:space="preserve">BANK </t>
  </si>
  <si>
    <t>DISCOM</t>
  </si>
  <si>
    <t>K.NO</t>
  </si>
  <si>
    <t>MOBILE</t>
  </si>
  <si>
    <t>GMAIL</t>
  </si>
  <si>
    <t>GPS / LINK</t>
  </si>
  <si>
    <t>QUATATION IN BANK</t>
  </si>
  <si>
    <t>FINAL DEAL WITH CLIENT</t>
  </si>
  <si>
    <t>DEAL WITH MSS</t>
  </si>
  <si>
    <t>LOAN</t>
  </si>
  <si>
    <t>CASH</t>
  </si>
  <si>
    <t>FILE LOGIN</t>
  </si>
  <si>
    <t>SUBSIDY</t>
  </si>
  <si>
    <t>BANK FILE/CASH</t>
  </si>
  <si>
    <t>FINAL DEAL with client</t>
  </si>
  <si>
    <t>WORK STATUS</t>
  </si>
  <si>
    <t>DISCOM WORK</t>
  </si>
  <si>
    <t>Cash</t>
  </si>
  <si>
    <t>PAYMENT STATUS</t>
  </si>
  <si>
    <t>File login</t>
  </si>
  <si>
    <t>1ST INSTALLMENT</t>
  </si>
  <si>
    <t>2ND INATALLMENT</t>
  </si>
  <si>
    <t>CASH TO MSS</t>
  </si>
  <si>
    <t>PAYMENT WITH PARTNER</t>
  </si>
  <si>
    <t>CASH DUE FROM CLIENT</t>
  </si>
  <si>
    <t>BANK DUE</t>
  </si>
  <si>
    <t>CASH DUE TO MSS</t>
  </si>
  <si>
    <t>NET DUE TO MSS</t>
  </si>
  <si>
    <t>TOTAL  PAYMENT RECIVED</t>
  </si>
  <si>
    <t>REMARK</t>
  </si>
  <si>
    <t>Bank due</t>
  </si>
  <si>
    <t>TOTAL Payment recieved</t>
  </si>
  <si>
    <t>LOAN APPLY</t>
  </si>
  <si>
    <t>RANI DEVI</t>
  </si>
  <si>
    <t>3KW</t>
  </si>
  <si>
    <t>1PH</t>
  </si>
  <si>
    <t>JAISINGHPURA</t>
  </si>
  <si>
    <t>AMBER</t>
  </si>
  <si>
    <t>reject</t>
  </si>
  <si>
    <t xml:space="preserve">GEETA DEVI </t>
  </si>
  <si>
    <t>SNJITINKER@GMAIL.COM</t>
  </si>
  <si>
    <t>HATOJ</t>
  </si>
  <si>
    <t xml:space="preserve">CANCEL </t>
  </si>
  <si>
    <t>26°57'20.5"N 75°52'49.6"E</t>
  </si>
  <si>
    <t>GOPAL PARJAPT updated</t>
  </si>
  <si>
    <t>DOCUMENTS PENDING</t>
  </si>
  <si>
    <t>10KW</t>
  </si>
  <si>
    <t>SAWARMAL YADAV</t>
  </si>
  <si>
    <t>RAMKUMARGURJAR09@GMAIL.COM</t>
  </si>
  <si>
    <t>3PH</t>
  </si>
  <si>
    <t>DADI KA FATAK</t>
  </si>
  <si>
    <t>SHALIMAR CHORHA</t>
  </si>
  <si>
    <t>Vky5111993@gmail.com</t>
  </si>
  <si>
    <t>27°07'47.7"N 75°34'36.4"E</t>
  </si>
  <si>
    <t>GOPAL1979PRAJAPAT1721@GMAIL.COM</t>
  </si>
  <si>
    <t>26°58'10.1"N 75°45'02.5"E</t>
  </si>
  <si>
    <t>Both (78 + 17)</t>
  </si>
  <si>
    <t>Doc Recieved</t>
  </si>
  <si>
    <t>Loan Rejected</t>
  </si>
  <si>
    <t>Project On Hold</t>
  </si>
  <si>
    <t>Center (78K)</t>
  </si>
  <si>
    <t>Pending</t>
  </si>
  <si>
    <t>Loan apply</t>
  </si>
  <si>
    <t>Payment Not Received Yet</t>
  </si>
  <si>
    <t>File into bank</t>
  </si>
  <si>
    <t>CASH FILE</t>
  </si>
  <si>
    <t xml:space="preserve">COMPLETED </t>
  </si>
  <si>
    <t>URMILA NAREDI</t>
  </si>
  <si>
    <t>SBI</t>
  </si>
  <si>
    <t>CHORA RASTA</t>
  </si>
  <si>
    <t>KANOTA</t>
  </si>
  <si>
    <r>
      <rPr>
        <rFont val="Calibri, sans-serif"/>
        <sz val="11.0"/>
        <u/>
      </rPr>
      <t>RAKESHJEWELLRY@GMAIL.COM</t>
    </r>
  </si>
  <si>
    <t>26°53'23.8"N 75°55'12.8"E</t>
  </si>
  <si>
    <t>COMPLET</t>
  </si>
  <si>
    <t>Loan approved</t>
  </si>
  <si>
    <t>I&amp;C Completed</t>
  </si>
  <si>
    <t>Subsidy granted</t>
  </si>
  <si>
    <t>2ns Installment Received</t>
  </si>
  <si>
    <t xml:space="preserve">BANK SHOW NHI HO RHA </t>
  </si>
  <si>
    <t>SHRAWAN YADAV</t>
  </si>
  <si>
    <t>DEVA RAM</t>
  </si>
  <si>
    <t>KHERI MILK</t>
  </si>
  <si>
    <t>PHULERA</t>
  </si>
  <si>
    <t>JOBNER</t>
  </si>
  <si>
    <t>SAMBHAR</t>
  </si>
  <si>
    <t xml:space="preserve">CIVIL DOWN </t>
  </si>
  <si>
    <t>DDNSPM.PR92@GMAIL.COM</t>
  </si>
  <si>
    <t>LAXMINARAYAN YADAV</t>
  </si>
  <si>
    <t>26°58'12.2"N 75°11'57.0"E</t>
  </si>
  <si>
    <t>rampalyadav9737@gmail.com</t>
  </si>
  <si>
    <t>27°04'41.1"N 75°24'48.2"E</t>
  </si>
  <si>
    <t>KARANSAR</t>
  </si>
  <si>
    <t>MUKESHSAAP143@GMAIL.COM</t>
  </si>
  <si>
    <t>COMPLETED</t>
  </si>
  <si>
    <t>INDRA DEVI VIJAY</t>
  </si>
  <si>
    <t>5KW</t>
  </si>
  <si>
    <t>DHAWAS</t>
  </si>
  <si>
    <t>BHANKHROTA</t>
  </si>
  <si>
    <t>mithleshkumar.sgi@gmail.com</t>
  </si>
  <si>
    <t>REJECT</t>
  </si>
  <si>
    <t>Cash To Mahi</t>
  </si>
  <si>
    <t>5kw</t>
  </si>
  <si>
    <t>anandyadav0707@gmail.com</t>
  </si>
  <si>
    <t>26°57'07.7"N 75°43'06.3"E</t>
  </si>
  <si>
    <t>SARJU KANWAR</t>
  </si>
  <si>
    <t>HATHOJ</t>
  </si>
  <si>
    <t>singhrajpal955@gmail.com</t>
  </si>
  <si>
    <t>26°57'35.6"N 75°40'32.6"E</t>
  </si>
  <si>
    <t>COMPLETED
17K PENDING</t>
  </si>
  <si>
    <t>RUKMANI DEVI AGRAWAL</t>
  </si>
  <si>
    <t>SANGANER</t>
  </si>
  <si>
    <t>jainlucky31@gmail.com</t>
  </si>
  <si>
    <t>26°48'40.2"N 75°47'47.9"E</t>
  </si>
  <si>
    <t>SOHNI DEVI</t>
  </si>
  <si>
    <t>LALPURA</t>
  </si>
  <si>
    <t>KALWAR</t>
  </si>
  <si>
    <t>Payment Due</t>
  </si>
  <si>
    <t>SOHANI231@GMAIL.COM</t>
  </si>
  <si>
    <t>26°58'38.0"N 75°31'27.2"E</t>
  </si>
  <si>
    <t xml:space="preserve">LOGIN </t>
  </si>
  <si>
    <t>BILL ME NAME TRANSFER
HOLD</t>
  </si>
  <si>
    <t>SAPNA KANWAR</t>
  </si>
  <si>
    <t>MAMTA</t>
  </si>
  <si>
    <t>3kw</t>
  </si>
  <si>
    <t>MACHVA</t>
  </si>
  <si>
    <t>NIWARU</t>
  </si>
  <si>
    <t>JHOTWARA</t>
  </si>
  <si>
    <t>SAPNAKANWAR6378@GMAIL.COM</t>
  </si>
  <si>
    <t>26°56'42.3"N 75°39'09.5"E</t>
  </si>
  <si>
    <t>KANTA DEVI</t>
  </si>
  <si>
    <t>4KW</t>
  </si>
  <si>
    <t>KUNDA</t>
  </si>
  <si>
    <t>alokbhat6008@gmail.com</t>
  </si>
  <si>
    <t>26°59'37.1"N 75°52'52.4"E</t>
  </si>
  <si>
    <t>BILL ME CORRECTION</t>
  </si>
  <si>
    <t>SHRAWAN KUMAR</t>
  </si>
  <si>
    <t>manish17082008@gimal.com</t>
  </si>
  <si>
    <t>27°05'34.6"N 75°28'42.5"E</t>
  </si>
  <si>
    <t>ARVIND RAJVANSHI</t>
  </si>
  <si>
    <t xml:space="preserve">UMED SINGH </t>
  </si>
  <si>
    <t>arvindrajwanshi8239019052@gmail.com</t>
  </si>
  <si>
    <t>26°53'35.3"N 75°43'16.9"E</t>
  </si>
  <si>
    <t>completed</t>
  </si>
  <si>
    <t>PRAHLAD SAHAY YADAV</t>
  </si>
  <si>
    <t>Psyadav5224@gmail.com</t>
  </si>
  <si>
    <t>27°04'12.4"N 75°25'13.6"E</t>
  </si>
  <si>
    <t>roopnarayn kumawat</t>
  </si>
  <si>
    <t>1ph</t>
  </si>
  <si>
    <t>roopkumawat90@gmail.com</t>
  </si>
  <si>
    <t>26°53'37.1"N 75°43'01.1"E</t>
  </si>
  <si>
    <t xml:space="preserve">FULCHAND </t>
  </si>
  <si>
    <t xml:space="preserve">CONFIRM NHI H ABHI </t>
  </si>
  <si>
    <t>BHANWAR SINGH</t>
  </si>
  <si>
    <t>BOI</t>
  </si>
  <si>
    <t>MUNDIYAGARH</t>
  </si>
  <si>
    <t>RENWAL</t>
  </si>
  <si>
    <t xml:space="preserve">SHALIMAR </t>
  </si>
  <si>
    <t>CHAMANCHOUDHAARY0000@GMAIL.COM</t>
  </si>
  <si>
    <t>27°06'48.2"N 75°23'59.5"E</t>
  </si>
  <si>
    <t>surendrasingh.rajawat5@gmail.com</t>
  </si>
  <si>
    <t>26°57'14.9"N 75°43'48.1"E</t>
  </si>
  <si>
    <t>METER,SUBSIDY PENDING</t>
  </si>
  <si>
    <t>15k extra expense from MSS side on the site</t>
  </si>
  <si>
    <t>URMILA DEVI KUMAWAT</t>
  </si>
  <si>
    <t>g.k7843@gmail.com</t>
  </si>
  <si>
    <t>26°53'38.6"N 75°42'45.8"E</t>
  </si>
  <si>
    <t>Meter &amp; File submit DISCOM</t>
  </si>
  <si>
    <t>1st Installment Received</t>
  </si>
  <si>
    <t>CHHOTU RAM</t>
  </si>
  <si>
    <t>KHEDIMILAK</t>
  </si>
  <si>
    <t>Rahulkhedi1997@Gmail.com</t>
  </si>
  <si>
    <t>KHANGA RAM</t>
  </si>
  <si>
    <t>27°04'09.3"N 75°25'43.8"E</t>
  </si>
  <si>
    <t>HOLD</t>
  </si>
  <si>
    <t>GANPAT SINGH</t>
  </si>
  <si>
    <t xml:space="preserve">SIRSI ROAD </t>
  </si>
  <si>
    <t>MUNNI DEVI</t>
  </si>
  <si>
    <t>daraml1986@gmail.com</t>
  </si>
  <si>
    <t>26°56'45.5"N 75°40'30.2"E</t>
  </si>
  <si>
    <t>Singhganpat315@gmail.com</t>
  </si>
  <si>
    <t xml:space="preserve">DOCUMENTS PENDING </t>
  </si>
  <si>
    <t>POOJA KUMAWAT</t>
  </si>
  <si>
    <t xml:space="preserve">PNB </t>
  </si>
  <si>
    <t>BAGRU</t>
  </si>
  <si>
    <t>26°50'06.8"N 75°32'46.4"E</t>
  </si>
  <si>
    <t>Work Not Started Yet</t>
  </si>
  <si>
    <t>PRIVATE BANK SE LOAN</t>
  </si>
  <si>
    <t>UMED SINGH</t>
  </si>
  <si>
    <t>SUBSIDY PENDING</t>
  </si>
  <si>
    <t>mangi devi</t>
  </si>
  <si>
    <t>BASU KANWAR</t>
  </si>
  <si>
    <t>UMEDTANWAR1078@GMAIL.COM</t>
  </si>
  <si>
    <t>KHAK BABA</t>
  </si>
  <si>
    <t>KHIJURIYA</t>
  </si>
  <si>
    <t>tejsingh5664@gmail.com</t>
  </si>
  <si>
    <t>MALIRAMAMALIRAMAYADAVA465@GAMIL.COM</t>
  </si>
  <si>
    <t>27°05'34.1"N 75°28'41.9"E</t>
  </si>
  <si>
    <t>27°04'45.8"N 75°27'14.1"E</t>
  </si>
  <si>
    <t>Subsidy apply with site photo</t>
  </si>
  <si>
    <t>COMPLETED ,8 K NHI DEGA</t>
  </si>
  <si>
    <t xml:space="preserve">AJAPAL YADAV </t>
  </si>
  <si>
    <t>GOVINDPURA</t>
  </si>
  <si>
    <t xml:space="preserve">LOAN REJECT CIVIL 630 </t>
  </si>
  <si>
    <t>GOPAL LAL KUMAWAT(NON DCR)</t>
  </si>
  <si>
    <t>SIRSI</t>
  </si>
  <si>
    <r>
      <rPr>
        <rFont val="Calibri, sans-serif"/>
        <color rgb="FF1155CC"/>
        <sz val="11.0"/>
        <u/>
      </rPr>
      <t>AJAYYADAV00393@GMAIL.COM</t>
    </r>
  </si>
  <si>
    <t>BINAYAKA</t>
  </si>
  <si>
    <t>JAGDISH NARAYAN YADAV</t>
  </si>
  <si>
    <t>PRADHUMAN038@GMAIL.COM</t>
  </si>
  <si>
    <t>26°54'32.7"N 75°40'45.6"E</t>
  </si>
  <si>
    <t>JAGDISHYADAVMILK@GMAIL.COM</t>
  </si>
  <si>
    <t>26°57'11.1"N 75°41'44.3"E</t>
  </si>
  <si>
    <t xml:space="preserve">50k cash hume dega </t>
  </si>
  <si>
    <t>RAMGOPAL</t>
  </si>
  <si>
    <t xml:space="preserve">8K CLINT NHI DEGA </t>
  </si>
  <si>
    <t>RADHESYAMYADAV269@GMAIL.COM</t>
  </si>
  <si>
    <t>SAROJ KANWAR</t>
  </si>
  <si>
    <t>6KW</t>
  </si>
  <si>
    <t>BHAINSAWA RD</t>
  </si>
  <si>
    <t>NATHAWATBHOPALSINGH@GMAIL.COM</t>
  </si>
  <si>
    <t>27°02'45.6"N 75°28'46.0"E</t>
  </si>
  <si>
    <t>LADHU RAM GURJAR</t>
  </si>
  <si>
    <t>jkjagdish13@gmail.com</t>
  </si>
  <si>
    <t>26°57'54.2"N 75°40'30.9"E</t>
  </si>
  <si>
    <t>100k cash dega</t>
  </si>
  <si>
    <t>BHAGWANI DEVI</t>
  </si>
  <si>
    <t>METER, SUBSIDY PENDING</t>
  </si>
  <si>
    <t>girdhari lal kumawat</t>
  </si>
  <si>
    <t>RGM</t>
  </si>
  <si>
    <t>MINDA</t>
  </si>
  <si>
    <t>MAROTH</t>
  </si>
  <si>
    <t>Rajkumarkumawat141@gmail.com</t>
  </si>
  <si>
    <t>26.952214, 75.697396</t>
  </si>
  <si>
    <t>girdharilalk45@gmail.com</t>
  </si>
  <si>
    <t>27°07'02.6"N 75°19'01.0"E</t>
  </si>
  <si>
    <t>DURGA DEVI</t>
  </si>
  <si>
    <t>3+7KW</t>
  </si>
  <si>
    <t>SHALIMAR</t>
  </si>
  <si>
    <t>ranveersinghjadoun1234@gmail.com</t>
  </si>
  <si>
    <t>26°57'35.4"N 75°43'48.4"E</t>
  </si>
  <si>
    <t>PAYMENT CLEAR</t>
  </si>
  <si>
    <t>RAJ KUMAR YADAV</t>
  </si>
  <si>
    <t>UCO</t>
  </si>
  <si>
    <t xml:space="preserve">MANDA </t>
  </si>
  <si>
    <t>RAJUBRAJUB23114@GMAIL.COM</t>
  </si>
  <si>
    <t>27°02'29.0"N 75°19'00.0"E</t>
  </si>
  <si>
    <t>COMPLETED
12K CHEAQUE LENA H 
WELDING ,SPRY OR SUPPORT PENDING</t>
  </si>
  <si>
    <t>MAHENDRA KUMAR JANGID</t>
  </si>
  <si>
    <t>BRIJ KISHOR RATHOR</t>
  </si>
  <si>
    <t>3+5KW</t>
  </si>
  <si>
    <t>HARNATHAPURA</t>
  </si>
  <si>
    <t>nala powehouse</t>
  </si>
  <si>
    <t>Vishnurathore@gmail.com</t>
  </si>
  <si>
    <t>mkjangid97@gmail.com</t>
  </si>
  <si>
    <t>26°57'09.9"N 75°43'35.1"E</t>
  </si>
  <si>
    <t>26°56'14.2"N 75°44'44.9"E</t>
  </si>
  <si>
    <t xml:space="preserve">12K KA CHEAQUE LENA H </t>
  </si>
  <si>
    <t>JAGDISH PRASAD SHARMA</t>
  </si>
  <si>
    <t>KARDHANI</t>
  </si>
  <si>
    <t>atulmaism5@gmail.com</t>
  </si>
  <si>
    <t>https://maps.app.goo.gl/6FbxTbDN5M5n4rGb8?g_st=ipc</t>
  </si>
  <si>
    <t xml:space="preserve">MALIRAM RAHORIA </t>
  </si>
  <si>
    <t>srkumawat5768@gmail.com</t>
  </si>
  <si>
    <t>26°57'27.1"N 75°42'20.8"E</t>
  </si>
  <si>
    <t xml:space="preserve">RAM CHANDRA MEENA </t>
  </si>
  <si>
    <t xml:space="preserve">3KW </t>
  </si>
  <si>
    <t>MURLIPURA</t>
  </si>
  <si>
    <t>VED9NADHI93@GMAIL.COM</t>
  </si>
  <si>
    <t>26°58'37.1"N 75°46'10.6"E</t>
  </si>
  <si>
    <t>Net Metering</t>
  </si>
  <si>
    <t>VIMLA DEVI</t>
  </si>
  <si>
    <t>INDIAN BANK</t>
  </si>
  <si>
    <t>rsg12116@gmail.com</t>
  </si>
  <si>
    <t>26°57'39.9"N 75°40'39.8"E</t>
  </si>
  <si>
    <t>MALI RAM YADAV</t>
  </si>
  <si>
    <t>PCYADAV4446@GMAIL.COM</t>
  </si>
  <si>
    <t>27°03'45.0"N 75°25'56.5"E</t>
  </si>
  <si>
    <t>SHIPU KUMARI</t>
  </si>
  <si>
    <t>abhi64singh@gmail.com</t>
  </si>
  <si>
    <t>26°57'41.2"N 75°41'24.3"E</t>
  </si>
  <si>
    <t>MANOJ KAWNAR</t>
  </si>
  <si>
    <t>vs7545104@GMAIL.COM</t>
  </si>
  <si>
    <t>26°58'01.6"N 75°40'18.4"E</t>
  </si>
  <si>
    <t>BRIJESH KUMAR JANGID</t>
  </si>
  <si>
    <t>MANISHJANGID 4145@GMAIL.COM</t>
  </si>
  <si>
    <t>27°04'09.1"N 75°25'42.7"E</t>
  </si>
  <si>
    <t>RAJU DEVI</t>
  </si>
  <si>
    <t>UNION</t>
  </si>
  <si>
    <t>sanjaysaini95095@gmail.com</t>
  </si>
  <si>
    <t>26°57'11.2"N 75°43'33.6"E</t>
  </si>
  <si>
    <t xml:space="preserve">10K SHRIPAL JI KE PASS </t>
  </si>
  <si>
    <t>KAILASH CHAND KUMAWAT</t>
  </si>
  <si>
    <t xml:space="preserve">JAGMALA </t>
  </si>
  <si>
    <t>MALIKPURA</t>
  </si>
  <si>
    <t>kkumawat606@gmail.com</t>
  </si>
  <si>
    <t>26°57'18.3"N 75°39'55.2"E</t>
  </si>
  <si>
    <t>ypappu9636@gmail.com</t>
  </si>
  <si>
    <t>NEMICHAND KUMAWAT</t>
  </si>
  <si>
    <t>https://maps.google.com/?q=27.192663,75.400536</t>
  </si>
  <si>
    <t>DADI KA PATHK</t>
  </si>
  <si>
    <t>vishnukumawat2121@gmail.com</t>
  </si>
  <si>
    <t>26°58'26.3"N 75°44'54.5"E</t>
  </si>
  <si>
    <t xml:space="preserve">ASHOK </t>
  </si>
  <si>
    <t>BOB</t>
  </si>
  <si>
    <t>ASHOK9950690539@GMAIL.COM</t>
  </si>
  <si>
    <t>26°58'04.7"N 75°40'33.3"E</t>
  </si>
  <si>
    <t xml:space="preserve">ghanshayam pareek </t>
  </si>
  <si>
    <t>CHITRA MAL</t>
  </si>
  <si>
    <t>pareeksunil44@gmail.com</t>
  </si>
  <si>
    <t>CMYADAV4035@GMAIL.COM</t>
  </si>
  <si>
    <t>26°57'40.9"N 75°42'29.7"E</t>
  </si>
  <si>
    <t>SHANU SHARMA</t>
  </si>
  <si>
    <t>vijaykhandal7@gmail.com</t>
  </si>
  <si>
    <t>26°56'57.3"N 75°41'12.0"E</t>
  </si>
  <si>
    <t xml:space="preserve">5k clinte nhi dega </t>
  </si>
  <si>
    <t>KANARAM YADAV</t>
  </si>
  <si>
    <t>PNB</t>
  </si>
  <si>
    <t>pawanshap5611@gmail.com</t>
  </si>
  <si>
    <t>27°05'46.8"N 75°26'15.3"E</t>
  </si>
  <si>
    <t>SHAMBHU DAYAL</t>
  </si>
  <si>
    <t xml:space="preserve"> Sainshambhu1971@gmail.com</t>
  </si>
  <si>
    <t>26°56'33.8"N 75°43'59.0"E</t>
  </si>
  <si>
    <t>GANGA RAM RAIGAR</t>
  </si>
  <si>
    <t>KHIRVA</t>
  </si>
  <si>
    <t>Dsdewat@gmail.com</t>
  </si>
  <si>
    <t>27°03'12.5"N 75°24'45.5"E</t>
  </si>
  <si>
    <t>GOPAL LAL YADAV</t>
  </si>
  <si>
    <t>KALADERA</t>
  </si>
  <si>
    <t>SURESHYADAV15081992@GMAIL.COM</t>
  </si>
  <si>
    <t>MAHENDER SINGH SHEKHAWAT</t>
  </si>
  <si>
    <t xml:space="preserve">5+6KW </t>
  </si>
  <si>
    <t>shailendarshekhawat2011@gmail.com</t>
  </si>
  <si>
    <t>26°57'11.9"N 75°43'36.0"E</t>
  </si>
  <si>
    <t>PRADEEP SINGH</t>
  </si>
  <si>
    <t>LALCHAND VERMA</t>
  </si>
  <si>
    <t>RAMJIPURA KALA</t>
  </si>
  <si>
    <t>PSSHEKHAWAT6376@GMAIL.COM</t>
  </si>
  <si>
    <t>27°05'32.2"N 75°23'16.6"E</t>
  </si>
  <si>
    <t>lalchandverma211@gmail.com</t>
  </si>
  <si>
    <t>26°53'55.8"N 75°41'54.2"E</t>
  </si>
  <si>
    <t>RADHA VALLABH PARASHAR</t>
  </si>
  <si>
    <t>INDIAN</t>
  </si>
  <si>
    <t>RADHAVALLABH1969@GMAIL.COM</t>
  </si>
  <si>
    <t>26°57'32.0"N 75°41'14.0"E</t>
  </si>
  <si>
    <t>Structure Work</t>
  </si>
  <si>
    <t>WORK ON HOLD DUE TO PAYMENT ISSUE</t>
  </si>
  <si>
    <t>VIJAY KUMAR</t>
  </si>
  <si>
    <t xml:space="preserve">SANJAY SAINI </t>
  </si>
  <si>
    <t>MAHARASTAR</t>
  </si>
  <si>
    <t>Sanjaysaini6221@gmail.com</t>
  </si>
  <si>
    <t>vipcomputersjpr@gmail.com</t>
  </si>
  <si>
    <t>26°57'41.4"N 75°42'23.7"E</t>
  </si>
  <si>
    <t>Hotel Kanak Palace and Restro</t>
  </si>
  <si>
    <t>KAJOD MAL YADAV</t>
  </si>
  <si>
    <t>CHIRNOTIYA</t>
  </si>
  <si>
    <t>KAJODMALYADAV100@GMAIL.COM</t>
  </si>
  <si>
    <t>26°59'53.2"N 75°25'12.4"E</t>
  </si>
  <si>
    <t xml:space="preserve">loan reapply loga </t>
  </si>
  <si>
    <t>HARIRAM VERMA</t>
  </si>
  <si>
    <t>VRAJ69606@GMAIL.COM</t>
  </si>
  <si>
    <t>26°57'55.5"N 75°43'06.6"E</t>
  </si>
  <si>
    <t xml:space="preserve">WORK START KRNA H </t>
  </si>
  <si>
    <t>RISHABH PARWAL</t>
  </si>
  <si>
    <t xml:space="preserve">5KW </t>
  </si>
  <si>
    <t>AJAY SHARMA</t>
  </si>
  <si>
    <t xml:space="preserve"> rishabhparwal99@gmail.com</t>
  </si>
  <si>
    <t>26°57'44.8"N 75°42'09.0"E</t>
  </si>
  <si>
    <t xml:space="preserve"> ajaysharma.as3677@gmail.com</t>
  </si>
  <si>
    <t>SUSHIL AGRAWAL</t>
  </si>
  <si>
    <t>CANARA</t>
  </si>
  <si>
    <t>VIDYADHAR</t>
  </si>
  <si>
    <t>pariagrawal388@gmail.com</t>
  </si>
  <si>
    <t>26°58'03.7"N 75°45'52.8"E</t>
  </si>
  <si>
    <t xml:space="preserve">WORK START KRNA </t>
  </si>
  <si>
    <t xml:space="preserve">PEERDAN SINGH </t>
  </si>
  <si>
    <t>Shalimar Choraha</t>
  </si>
  <si>
    <t xml:space="preserve"> SUBSIDY PENDING</t>
  </si>
  <si>
    <t>BADRI NARAYAN</t>
  </si>
  <si>
    <t>ATUL SHARMA</t>
  </si>
  <si>
    <r>
      <rPr>
        <rFont val="Calibri, sans-serif"/>
        <sz val="11.0"/>
        <u/>
      </rPr>
      <t>SHYAM.IT.PROFESSIONAL@GMAIL.COM</t>
    </r>
  </si>
  <si>
    <t>MANCHAVA</t>
  </si>
  <si>
    <t>kalwar</t>
  </si>
  <si>
    <t>BHIASLANA</t>
  </si>
  <si>
    <t>atulelectrotech@gmail.com</t>
  </si>
  <si>
    <t>HEMRAJCHOUDHARY1204@GMAIL.COM</t>
  </si>
  <si>
    <t>27°02'52.0"N 75°17'37.0"E</t>
  </si>
  <si>
    <t>26°57'58.6"N 75°43'56.0"E</t>
  </si>
  <si>
    <t>RAJESH KUMAR</t>
  </si>
  <si>
    <t>LOGIN</t>
  </si>
  <si>
    <t>RAJESH.DEEPAK85@GMAIL.COM</t>
  </si>
  <si>
    <t>BALU RAM YADAV</t>
  </si>
  <si>
    <t>NCY9799@GMAIL.COM</t>
  </si>
  <si>
    <t>26°57'06.3"N 75°41'50.9"E</t>
  </si>
  <si>
    <t>WIRING &amp; INVERTER PENDING</t>
  </si>
  <si>
    <t>MANJU DEVI</t>
  </si>
  <si>
    <t>MANCHWA</t>
  </si>
  <si>
    <t xml:space="preserve">COMPLETED
6000 LENA H </t>
  </si>
  <si>
    <t>KARANKUMAWAT981@GMAIL.COM</t>
  </si>
  <si>
    <t>MANISH DADHICH</t>
  </si>
  <si>
    <t>26°57'06.1"N 75°39'08.5"E</t>
  </si>
  <si>
    <t>NARENDRA KUMAR</t>
  </si>
  <si>
    <t>PARTAP ENCLACE</t>
  </si>
  <si>
    <t>NRI</t>
  </si>
  <si>
    <t>CANRA</t>
  </si>
  <si>
    <t>Manish.dadhich@ gmail.com</t>
  </si>
  <si>
    <t>26°48'50.4"N 75°50'47.2"E</t>
  </si>
  <si>
    <t>Inverter pending</t>
  </si>
  <si>
    <t>manisharajwaniya9@gmail.com</t>
  </si>
  <si>
    <t>26°57'45.9"N 75°42'27.5"E</t>
  </si>
  <si>
    <t>PROPERTY DISPUTE CHAL RHA H 
HOLD</t>
  </si>
  <si>
    <t>RAMSWROOP VERMA</t>
  </si>
  <si>
    <t>RAMSAWROOP9001@GMAIL.COM</t>
  </si>
  <si>
    <t>26°57'08.3"N 75°41'50.2"E</t>
  </si>
  <si>
    <t xml:space="preserve">LOAN REJECT </t>
  </si>
  <si>
    <t>GAJENDRA SINGH DIDAL</t>
  </si>
  <si>
    <t xml:space="preserve">KISHORPURA </t>
  </si>
  <si>
    <t>gaju950909@gmail.com</t>
  </si>
  <si>
    <t>26°57'14.7"N 75°40'11.9"E</t>
  </si>
  <si>
    <t xml:space="preserve">COMPLETE 2K nhi dege </t>
  </si>
  <si>
    <t>SITARAM YADAV</t>
  </si>
  <si>
    <t>K NO. NHI AAYE ABHI TK</t>
  </si>
  <si>
    <t xml:space="preserve">VENDOR CHANGE HOGA </t>
  </si>
  <si>
    <t>HAJARI SINGH</t>
  </si>
  <si>
    <t>vss1443@gmail.com</t>
  </si>
  <si>
    <t>26°59'12.5"N 75°45'26.9"E</t>
  </si>
  <si>
    <t>SITARAMYADAV1964@GMAIL.COM</t>
  </si>
  <si>
    <t>ACCOUNT OPEN HOGA</t>
  </si>
  <si>
    <t xml:space="preserve">KAJAL MEENA </t>
  </si>
  <si>
    <t>Mahikjl66@gmail.com</t>
  </si>
  <si>
    <t>26°57'41.1"N 75°39'08.3"E</t>
  </si>
  <si>
    <t xml:space="preserve">BILL ME NAME TRANSFER </t>
  </si>
  <si>
    <t xml:space="preserve">GOVIND GUPTA </t>
  </si>
  <si>
    <t>PURANA GHAT</t>
  </si>
  <si>
    <t>26°53'07.8"N 75°53'56.8"E</t>
  </si>
  <si>
    <t>REENA</t>
  </si>
  <si>
    <t xml:space="preserve">2000 CLINT NHI DEGA </t>
  </si>
  <si>
    <t>Kumaryogesh9895@gmail.com</t>
  </si>
  <si>
    <t>26°58'54.3"N 75°40'47.8"E</t>
  </si>
  <si>
    <t xml:space="preserve">BILL ME NAME UPDATE HOGA </t>
  </si>
  <si>
    <t xml:space="preserve">SITARAM MEENA </t>
  </si>
  <si>
    <t>KOKAWAS</t>
  </si>
  <si>
    <t>SHIKARPURA</t>
  </si>
  <si>
    <t>SM6705242@GMAIL.COM</t>
  </si>
  <si>
    <t>26°46'06.6"N 75°46'30.9"E</t>
  </si>
  <si>
    <t xml:space="preserve"> </t>
  </si>
  <si>
    <t>SHYOPAL</t>
  </si>
  <si>
    <t xml:space="preserve">INDIAN </t>
  </si>
  <si>
    <t xml:space="preserve">private bank se hogi </t>
  </si>
  <si>
    <t>VINOD YADAV</t>
  </si>
  <si>
    <t>jalso</t>
  </si>
  <si>
    <t>kaluramyadav907@gmail.com</t>
  </si>
  <si>
    <t>27°07'46.1"N 75°40'42.4"E</t>
  </si>
  <si>
    <t>COMLETED</t>
  </si>
  <si>
    <t>ANANDI LAL KUMAWAT</t>
  </si>
  <si>
    <t xml:space="preserve">BILL ME NAME CHANGE </t>
  </si>
  <si>
    <t>KALU RAM JAT</t>
  </si>
  <si>
    <r>
      <rPr>
        <rFont val="Calibri, sans-serif"/>
        <sz val="11.0"/>
        <u/>
      </rPr>
      <t>SOHANKUMAWAT310@GMAIL.COM</t>
    </r>
  </si>
  <si>
    <t>RGB</t>
  </si>
  <si>
    <t xml:space="preserve">MANCHVA </t>
  </si>
  <si>
    <t>26°59'49.8"N 75°37'21.2"E</t>
  </si>
  <si>
    <t>MAHENDRA(NON DCR)</t>
  </si>
  <si>
    <t>BHANKROTA</t>
  </si>
  <si>
    <t>27°10'27.5"N 75°21'58.2"E</t>
  </si>
  <si>
    <t>BILL ME CORRECTION HOGA</t>
  </si>
  <si>
    <t xml:space="preserve">OMPRAKESH JANGID </t>
  </si>
  <si>
    <t>OMPRAKASHJANGID262@GMAIL.COM</t>
  </si>
  <si>
    <t>JITENDRA JAJORIA</t>
  </si>
  <si>
    <t xml:space="preserve">SUBSIDY,2ND PAYMENT PENDING </t>
  </si>
  <si>
    <t>jkjajoria886@gmail.com</t>
  </si>
  <si>
    <t>ASHOK NARWAL</t>
  </si>
  <si>
    <t>XGM3+56J, Bassi Naaga, Rajasthan 303124</t>
  </si>
  <si>
    <t>CBOI</t>
  </si>
  <si>
    <t>PANCHYAWALA</t>
  </si>
  <si>
    <r>
      <rPr>
        <rFont val="Calibri, sans-serif"/>
        <sz val="11.0"/>
        <u/>
      </rPr>
      <t>ASHOKNARWAL73@ICLOUD.COM</t>
    </r>
  </si>
  <si>
    <t>26°55'05.9"N 75°42'51.1"E</t>
  </si>
  <si>
    <t xml:space="preserve">KHEMARAM BAJDOLIYA </t>
  </si>
  <si>
    <t>KHAMRAJJAAT789@GMAIL.COM</t>
  </si>
  <si>
    <t xml:space="preserve">INDRAJ KUMAR MEENA </t>
  </si>
  <si>
    <t>aalakabas6277@gmail.com</t>
  </si>
  <si>
    <t>https://maps.app.goo.gl/tLo1CgfxC3gx5N158?g_st=aw</t>
  </si>
  <si>
    <t>ASHA</t>
  </si>
  <si>
    <t xml:space="preserve"> SUBSIDY,SECOND PAYMENT PENDING </t>
  </si>
  <si>
    <t xml:space="preserve">GULAB SHARAM </t>
  </si>
  <si>
    <t>ashasekhawat@626gmail.com</t>
  </si>
  <si>
    <t>26°58'46.4"N 75°43'06.5"E</t>
  </si>
  <si>
    <t>raj.khandal5422@gmail.com</t>
  </si>
  <si>
    <t>26°57'45.1"N 75°43'07.9"E</t>
  </si>
  <si>
    <t xml:space="preserve">MEENA MEENA </t>
  </si>
  <si>
    <t>SANGNAER</t>
  </si>
  <si>
    <t xml:space="preserve">SANGANER </t>
  </si>
  <si>
    <t>smsureshmeena06@gmail.com</t>
  </si>
  <si>
    <t>https://maps.app.goo.gl/NHah8eNnzHvqbRbp8?g_st=aw</t>
  </si>
  <si>
    <t>Material &amp; Team Reached</t>
  </si>
  <si>
    <t>choti devi</t>
  </si>
  <si>
    <t>KRANASAR</t>
  </si>
  <si>
    <t>SPK9799211493@GMAIL.COM</t>
  </si>
  <si>
    <t>27°05'40.8"N 75°26'45.7"E</t>
  </si>
  <si>
    <t xml:space="preserve">ADHAR ME DOB CHANGE HOGI </t>
  </si>
  <si>
    <t>SHANKR LAL KUMAWAT</t>
  </si>
  <si>
    <t>sitaramkumawat9709@gmail.com</t>
  </si>
  <si>
    <t>DEEPAK SHARMA</t>
  </si>
  <si>
    <t>GOPALPURA</t>
  </si>
  <si>
    <t>DURGAPURA</t>
  </si>
  <si>
    <t>sharma.deepak267@gmail.com</t>
  </si>
  <si>
    <t>26°52'14.3"N 75°46'17.8"E</t>
  </si>
  <si>
    <t>ashok sharma</t>
  </si>
  <si>
    <t>MAHAVEER8769@GMAIL.COM</t>
  </si>
  <si>
    <t>sharma.ashokmes@gmail.com</t>
  </si>
  <si>
    <t>https://maps.app.goo.gl/hLD6XMWq8Piqmn7B9?g_st=aw</t>
  </si>
  <si>
    <t xml:space="preserve">MAINA DEVI </t>
  </si>
  <si>
    <t>26°57'12.4"N 75°43'10.5"E</t>
  </si>
  <si>
    <t>MUKESH KUMAR PERWA</t>
  </si>
  <si>
    <t>RAMGANJ</t>
  </si>
  <si>
    <t>Mukeshparewa50@gmail.com</t>
  </si>
  <si>
    <t>26°55'27.6"N 75°50'35.7"E</t>
  </si>
  <si>
    <t>BABU LAL KUMHAR</t>
  </si>
  <si>
    <t>CHATARPURA</t>
  </si>
  <si>
    <t xml:space="preserve">SANGANER RURAL </t>
  </si>
  <si>
    <t xml:space="preserve"> krishan.nitrr@gmail.com</t>
  </si>
  <si>
    <t>26°49'44.2"N 75°53'19.1"E</t>
  </si>
  <si>
    <t>HANUMAN SAHAI SHARMA</t>
  </si>
  <si>
    <t>SARNA DOONGAR</t>
  </si>
  <si>
    <t>ROJDA</t>
  </si>
  <si>
    <t>R.sharma5414@जीमेल.com</t>
  </si>
  <si>
    <t>26°59'55.1"N 75°41'59.0"E</t>
  </si>
  <si>
    <t>NIRMALA KUMAWAT</t>
  </si>
  <si>
    <t>8KW</t>
  </si>
  <si>
    <t>MAHESHKUMAWAT440@GMAIL.COM</t>
  </si>
  <si>
    <t>26°57'07.8"N 75°42'22.6"E</t>
  </si>
  <si>
    <t>ANKIT AGARWAL</t>
  </si>
  <si>
    <t>AANKIT925@GMAIL.COM</t>
  </si>
  <si>
    <t>26°56'44.1"N 75°42'29.3"E</t>
  </si>
  <si>
    <t>20K SUBSIDY PE DEGA</t>
  </si>
  <si>
    <t>FILE LOGIN
mk se update lena h</t>
  </si>
  <si>
    <t>RAMA SHARMA[yesh bhai ki file n]</t>
  </si>
  <si>
    <t>HARANATH PURA</t>
  </si>
  <si>
    <t>kumaryash1910@gmail.com</t>
  </si>
  <si>
    <r>
      <rPr>
        <rFont val="Calibri, sans-serif"/>
        <color rgb="FF1155CC"/>
        <sz val="11.0"/>
        <u/>
      </rPr>
      <t>https://goo.gl/maps/W5eCVVrmGxMHixis6?g_st=aw</t>
    </r>
  </si>
  <si>
    <t xml:space="preserve">BANK SE CALL AA GYA H
PR BANK NHI JAA RHE H </t>
  </si>
  <si>
    <t>URMILA KANWAR</t>
  </si>
  <si>
    <t>Sss9680503384@gmail.com</t>
  </si>
  <si>
    <t>26°58'56.3"N 75°43'13.3"E</t>
  </si>
  <si>
    <t>STRUCTURE WORK ONLY</t>
  </si>
  <si>
    <t>ARCHANA</t>
  </si>
  <si>
    <r>
      <rPr>
        <rFont val="Calibri, sans-serif"/>
        <sz val="11.0"/>
        <u/>
      </rPr>
      <t>KSUNAND@gmail.com</t>
    </r>
  </si>
  <si>
    <t>26°55'21.9"N 75°38'14.6"E</t>
  </si>
  <si>
    <t xml:space="preserve">FILE LOGIN/NEW PASSBOOK NHI AAYI
CIVIL DOWN H SAYAD CASE ME HO </t>
  </si>
  <si>
    <t>ARJUN LAL JAT</t>
  </si>
  <si>
    <t>KALAKH</t>
  </si>
  <si>
    <t>deepakchoudhary3133@gmail.com</t>
  </si>
  <si>
    <t>27°00'19.7"N 75°28'02.9"E</t>
  </si>
  <si>
    <t xml:space="preserve">CONFIRM KRNA H </t>
  </si>
  <si>
    <t>GOPAL LAL CHOUDHARY</t>
  </si>
  <si>
    <t xml:space="preserve"> gopal9929885367@gmail.com</t>
  </si>
  <si>
    <t>https://maps.app.goo.gl/L8mwF8NwZcfiQYPT8?g_st=aw</t>
  </si>
  <si>
    <t>BILL NAME CHANGE</t>
  </si>
  <si>
    <t>SARVESH KUMAR SHARMA</t>
  </si>
  <si>
    <t>KHATIPURA</t>
  </si>
  <si>
    <t>NALA POWER</t>
  </si>
  <si>
    <t>rjharshsharma014@gmail.com</t>
  </si>
  <si>
    <t>DEMAND JAAMA NHI KRVA RHA H</t>
  </si>
  <si>
    <t>PASSBOOK PENDING
HOLD PR RKHNA  ABHI</t>
  </si>
  <si>
    <t>SANTRA</t>
  </si>
  <si>
    <t>raghu24524@gmail.com</t>
  </si>
  <si>
    <t>26°51'00.5"N 75°36'15.3"E</t>
  </si>
  <si>
    <t>S.R</t>
  </si>
  <si>
    <t xml:space="preserve">PASSBOOK SEND NHI KR RHA H </t>
  </si>
  <si>
    <t xml:space="preserve">CLIENT NE LOAN REJECT KRVADIYA </t>
  </si>
  <si>
    <t>NARENDRA SINGH</t>
  </si>
  <si>
    <t>PINDOLAI</t>
  </si>
  <si>
    <t>narendrasinghh37@gmail.com</t>
  </si>
  <si>
    <t>26°56'42.2"N 75°38'59.3"E</t>
  </si>
  <si>
    <t>SITA RAM KUMAWAT</t>
  </si>
  <si>
    <t>GOVINDGARH</t>
  </si>
  <si>
    <t>KINDESTMAHENDRA927@GMAIL.COM</t>
  </si>
  <si>
    <t>Remark</t>
  </si>
  <si>
    <t>LOAN APLLY</t>
  </si>
  <si>
    <t>GULAB CHAND KUMAWAT</t>
  </si>
  <si>
    <t>CHOMU</t>
  </si>
  <si>
    <t>DOCUMENTS PENDING
GROUP ME LOCATION KE ALVO KOI 
INFORMANTION NHI H</t>
  </si>
  <si>
    <t>Pk191292@gmail.com</t>
  </si>
  <si>
    <t>27°09'41.4"N 75°42'42.9"E</t>
  </si>
  <si>
    <t>26°58'26.1"N 75°44'46.2"E</t>
  </si>
  <si>
    <t xml:space="preserve">GITA DEVI </t>
  </si>
  <si>
    <t xml:space="preserve">RENWAL </t>
  </si>
  <si>
    <t>tarachandkmwt635@gmail.com</t>
  </si>
  <si>
    <t>27°09'14.8"N 75°21'11.9"E</t>
  </si>
  <si>
    <r>
      <rPr>
        <rFont val="Calibri, sans-serif"/>
        <sz val="11.0"/>
        <u/>
      </rPr>
      <t>KAILASHKUMAWAT1001@GMAIL.COM</t>
    </r>
  </si>
  <si>
    <t xml:space="preserve">DOCUMENTS PENDING
CALL PICKUP NHI KR RHE H </t>
  </si>
  <si>
    <t>26°57'46.2"N 75°39'06.1"E</t>
  </si>
  <si>
    <t>PAN UPDATE HOGA 
CALL PICKUP NHI KR RHE H</t>
  </si>
  <si>
    <t>RAMLAL KUMAWAT</t>
  </si>
  <si>
    <t>RM7073654309@GMAIL.COM</t>
  </si>
  <si>
    <t>26°58'20.4"N 75°40'58.9"E</t>
  </si>
  <si>
    <t>KAMAL KISHORE KUMAWAT</t>
  </si>
  <si>
    <t>KK5795419@GMAIL.COM</t>
  </si>
  <si>
    <t>https://maps.app.goo.gl/qpGz63SHLsPozd789?g_st=aw</t>
  </si>
  <si>
    <t xml:space="preserve">LOAN APPLY </t>
  </si>
  <si>
    <t>RAMDHAN BUNKAR</t>
  </si>
  <si>
    <t>TANTYAWAS</t>
  </si>
  <si>
    <t>JAITPURA</t>
  </si>
  <si>
    <t>ramdhanbayala@gmail.com</t>
  </si>
  <si>
    <t>27°04'55.8"N 75°40'18.9"E</t>
  </si>
  <si>
    <t>Done</t>
  </si>
  <si>
    <t>meter,subsiday pending</t>
  </si>
  <si>
    <t>PUSHPA</t>
  </si>
  <si>
    <t>JHOTWAR</t>
  </si>
  <si>
    <t xml:space="preserve">ADHAR CARD SUSPENDED  H </t>
  </si>
  <si>
    <t xml:space="preserve">KISTURI DEVI </t>
  </si>
  <si>
    <t>Shubhamsinghc570@gmail.com</t>
  </si>
  <si>
    <t>RAMJIPURA</t>
  </si>
  <si>
    <t>26.9422621, 75.7177459</t>
  </si>
  <si>
    <t>CMDHAYAL14@GMAIL.COM</t>
  </si>
  <si>
    <t>27°06'15.2"N 75°24'06.2"E</t>
  </si>
  <si>
    <t>LOAN REAPPLY HOGA</t>
  </si>
  <si>
    <t>JAGDISH PRASAD KUMAWAT</t>
  </si>
  <si>
    <t xml:space="preserve">HIGONIYA </t>
  </si>
  <si>
    <t>kumardkumawat2000@gmail.com</t>
  </si>
  <si>
    <t>27°02'08.1"N 75°27'33.0"E</t>
  </si>
  <si>
    <t>SURENDRA KUMAR (mayank)</t>
  </si>
  <si>
    <t>8kw</t>
  </si>
  <si>
    <t>Gandhi PATH</t>
  </si>
  <si>
    <t>VAISHALI NAGAR</t>
  </si>
  <si>
    <t>Surendersanghi 38 @ gmail.com</t>
  </si>
  <si>
    <t>narayan lal kumawat(non dcr)</t>
  </si>
  <si>
    <t xml:space="preserve">10kw </t>
  </si>
  <si>
    <t>3ph</t>
  </si>
  <si>
    <t xml:space="preserve">naryanlal1999@gmail.com </t>
  </si>
  <si>
    <t>26°59'01.3"N 75°22'58.9"E</t>
  </si>
  <si>
    <t xml:space="preserve">BHERU LAL JAT </t>
  </si>
  <si>
    <t>bharulaljat@gmail.com</t>
  </si>
  <si>
    <t>26°57'26.3"N 75°38'18.5"E</t>
  </si>
  <si>
    <t>KAILASHI DEVI</t>
  </si>
  <si>
    <t>SHALIMAR_CHORHA</t>
  </si>
  <si>
    <t>SANDEEP SINGH RAJAWAT</t>
  </si>
  <si>
    <t>jpsharmaji724@gmail.com</t>
  </si>
  <si>
    <t xml:space="preserve">SHIKARPURA </t>
  </si>
  <si>
    <t>singh.sandeep328@gmail.com</t>
  </si>
  <si>
    <t>26°45'48.4"N 75°48'04.5"E</t>
  </si>
  <si>
    <t>DINESH KUMAWAT</t>
  </si>
  <si>
    <t xml:space="preserve">NEW CONNECTION FILE LGA DI H </t>
  </si>
  <si>
    <t xml:space="preserve">KAILASHI DEVI </t>
  </si>
  <si>
    <t>26°54'24.0"N 75°46'23.1"E</t>
  </si>
  <si>
    <t>dk6100239@gmail.com</t>
  </si>
  <si>
    <t>26°52'11.5"N 75°15'09.8"E</t>
  </si>
  <si>
    <t>SEEMA(NON DCR)</t>
  </si>
  <si>
    <t>DEEPAKJORIYA93@GMAIL.COM</t>
  </si>
  <si>
    <t>26°54'18.9"N 75°46'12.4"E</t>
  </si>
  <si>
    <t>LOAN APPLY 
ACCOUNT UPDATE HOGA</t>
  </si>
  <si>
    <t>KAMLA DEVI KAJLA</t>
  </si>
  <si>
    <t xml:space="preserve">3kw </t>
  </si>
  <si>
    <t>hathoj</t>
  </si>
  <si>
    <t>MITHLESH KANWAR</t>
  </si>
  <si>
    <t>maheshkajala@gmail.com</t>
  </si>
  <si>
    <t>26°57'28.2"N 75°39'59.2"E</t>
  </si>
  <si>
    <t>KARINI PATAK</t>
  </si>
  <si>
    <t>vishalsinghshekhawat17@gmail.com</t>
  </si>
  <si>
    <t>File prepare</t>
  </si>
  <si>
    <t>26°49'36.0"N 75°46'25.7"E</t>
  </si>
  <si>
    <t xml:space="preserve">NANU RAM MEENA </t>
  </si>
  <si>
    <t>RAMRATAN VERMA</t>
  </si>
  <si>
    <t>Naren.jaif@gmail.com</t>
  </si>
  <si>
    <t>26°58'31.9"N 75°23'07.9"E</t>
  </si>
  <si>
    <t>Ramratanv24@gmail.com</t>
  </si>
  <si>
    <t>26°52'00.3"N 75°14'34.3"E</t>
  </si>
  <si>
    <t xml:space="preserve">RAJU KUMAWAT </t>
  </si>
  <si>
    <t>RAJUKUMAWAT652@GMAIL.COM</t>
  </si>
  <si>
    <t>27°18'48.3"N 75°09'20.7"E</t>
  </si>
  <si>
    <t>1ST PAYMENT DONE</t>
  </si>
  <si>
    <t>MANBHAR DEVI</t>
  </si>
  <si>
    <t>PAN UPDATE HOGA</t>
  </si>
  <si>
    <t>GOVINPURA</t>
  </si>
  <si>
    <t>UMA</t>
  </si>
  <si>
    <t>LALCHANDPURA</t>
  </si>
  <si>
    <t>26°57'07.9"N 75°41'25.0"E</t>
  </si>
  <si>
    <t>Chandra1986satyamtvs@gmail.com</t>
  </si>
  <si>
    <t>26°59'08.6"N 75°41'07.6"E</t>
  </si>
  <si>
    <t>SUMITRA</t>
  </si>
  <si>
    <t>rkishan2674@gmail.com</t>
  </si>
  <si>
    <t>SANJU DEVI</t>
  </si>
  <si>
    <t>Dhillonvijay662@gmail.com</t>
  </si>
  <si>
    <t>26°58'21.5"N 75°42'21.5"E</t>
  </si>
  <si>
    <t>HEENA  BANO</t>
  </si>
  <si>
    <t>HKHAN39019@GMAIL.COM</t>
  </si>
  <si>
    <t>HASEENA BANO</t>
  </si>
  <si>
    <t>Aveshnizamkhani@gmail.com</t>
  </si>
  <si>
    <t>https://maps.app.goo.gl/X2zbd1dBz4cJG7EW8?g_st=awb</t>
  </si>
  <si>
    <t>RAMESH CHAND SHARMA</t>
  </si>
  <si>
    <t>MEENAWALA</t>
  </si>
  <si>
    <t>rameshpradhan4385@gmail.com</t>
  </si>
  <si>
    <t>bill expense update honge</t>
  </si>
  <si>
    <t>RAKESH KUMAR SHARMA</t>
  </si>
  <si>
    <t>JAGATAPURA</t>
  </si>
  <si>
    <t>LAXMI NARAIN KUMAWAT</t>
  </si>
  <si>
    <t>rakesh.baknad@gmail.com</t>
  </si>
  <si>
    <t>26°49'46.2"N 75°49'31.2"E</t>
  </si>
  <si>
    <t>babulal2797@gmail.com</t>
  </si>
  <si>
    <t>26°52'22.9"N 75°15'27.2"E</t>
  </si>
  <si>
    <t>ARUN KUMAR JOSHI</t>
  </si>
  <si>
    <t>ARUNKUMARJOSHIARUN@GMAIL.COM</t>
  </si>
  <si>
    <t>phukraj</t>
  </si>
  <si>
    <t>26°49'48.4"N 75°49'25.7"E</t>
  </si>
  <si>
    <t>LOAN REJECT NHI HUA</t>
  </si>
  <si>
    <t>kajodi lal</t>
  </si>
  <si>
    <t>BIMLA DEVI</t>
  </si>
  <si>
    <t>26°48'57.0"N 75°48'12.0"E</t>
  </si>
  <si>
    <t>KANAKPURA</t>
  </si>
  <si>
    <t>sumersingh246x@gmail.com</t>
  </si>
  <si>
    <t>26°56'00.7"N 75°43'05.7"E</t>
  </si>
  <si>
    <t xml:space="preserve">SUNIL KUMAR </t>
  </si>
  <si>
    <t xml:space="preserve">3.7KW </t>
  </si>
  <si>
    <t>MADAN LAL</t>
  </si>
  <si>
    <t>MADANLALPHULERA@GMAIL.COM</t>
  </si>
  <si>
    <t>26°52'15.2"N 75°15'07.9"E</t>
  </si>
  <si>
    <t>KAMLESH CHOUHAN</t>
  </si>
  <si>
    <t>BAD KE BALAJI</t>
  </si>
  <si>
    <t>ranichouhan1577@gmail.com</t>
  </si>
  <si>
    <t>26°49'31.3"N 75°37'40.5"E</t>
  </si>
  <si>
    <t xml:space="preserve">POONAM DEVI </t>
  </si>
  <si>
    <t>ryadav03oct1980@gmail.com</t>
  </si>
  <si>
    <t>JITENDRA SHARMA</t>
  </si>
  <si>
    <t>JEETENDRASHARMA9660724348@GMAIL.COM</t>
  </si>
  <si>
    <t>26°52'22.3"N 75°15'08.7"E</t>
  </si>
  <si>
    <t>PATASI DEVI</t>
  </si>
  <si>
    <t>72401 39113</t>
  </si>
  <si>
    <t>MAHENDRAKUMARA1212131@GMAIL.COM</t>
  </si>
  <si>
    <t xml:space="preserve">BHAWARI DEVI </t>
  </si>
  <si>
    <t>KUMAWATMONU813@GMAIL.COM</t>
  </si>
  <si>
    <t>https://goo.gl/maps/vNkPP3VEgzyj8kmZ9?g_st=ac</t>
  </si>
  <si>
    <t>ASHOK KUMAR SHARMA</t>
  </si>
  <si>
    <t>PARUL4377@GMAIL.COM</t>
  </si>
  <si>
    <t>26°49'18.9"N 75°32'38.1"E</t>
  </si>
  <si>
    <t>CHOGA LAL CHOUDHARY</t>
  </si>
  <si>
    <t>C94253872@GMAIL.COM</t>
  </si>
  <si>
    <t>MADAN LAL SHARMA</t>
  </si>
  <si>
    <t>JHOTHWARA</t>
  </si>
  <si>
    <t>RAKESHSHARMA242002@GMAIL.COM</t>
  </si>
  <si>
    <t>MUNESH DEVI</t>
  </si>
  <si>
    <t>hariramrawat074@mail.com</t>
  </si>
  <si>
    <t>GOPAL KRISHAN SHARMA</t>
  </si>
  <si>
    <t>gs6725039@gmail.com</t>
  </si>
  <si>
    <t>HARISH KUMAR PARWANI</t>
  </si>
  <si>
    <t>geetah101081@gmail.com</t>
  </si>
  <si>
    <t>SAJNI DEVI</t>
  </si>
  <si>
    <t>dilrajbukan2@gmail.com</t>
  </si>
  <si>
    <t>no.</t>
  </si>
  <si>
    <t xml:space="preserve">UPDATE </t>
  </si>
  <si>
    <t>name</t>
  </si>
  <si>
    <t>kw</t>
  </si>
  <si>
    <t>ph</t>
  </si>
  <si>
    <t>location</t>
  </si>
  <si>
    <t>MOHAN LAL</t>
  </si>
  <si>
    <t>number</t>
  </si>
  <si>
    <t>Bill Total</t>
  </si>
  <si>
    <t xml:space="preserve">Payment Received </t>
  </si>
  <si>
    <t>BUSINESSJAATAJAY1998@GMAIL.COM</t>
  </si>
  <si>
    <t>6kw</t>
  </si>
  <si>
    <t>SAURABH KANSAL</t>
  </si>
  <si>
    <t>SUNIL</t>
  </si>
  <si>
    <t>3.5KW</t>
  </si>
  <si>
    <t>Karolan Ka Barh, Jeerota, Jaipur, Rajasthan 302022</t>
  </si>
  <si>
    <t>SANTOSH KANWAR</t>
  </si>
  <si>
    <t>KSHANTI DEVI</t>
  </si>
  <si>
    <t xml:space="preserve">OMPARKASH </t>
  </si>
  <si>
    <t>26°49'28.1"N 75°33'48.5"E</t>
  </si>
  <si>
    <t>RAJHUVEERSINGH474@GMAIL.COM</t>
  </si>
  <si>
    <t xml:space="preserve">WORK STATUS </t>
  </si>
  <si>
    <t>BILL TOATL</t>
  </si>
  <si>
    <t>PAYMENT RECEIVED</t>
  </si>
  <si>
    <t>ANURAG BUTOLIA</t>
  </si>
  <si>
    <t>https://maps.app.goo.gl/HJmFhQmTsbCkvEwN8?g_st=aw</t>
  </si>
  <si>
    <t>PRADHAN VAISHNAV</t>
  </si>
  <si>
    <t>26°57'40.3"N 75°43'05.4"E</t>
  </si>
  <si>
    <t>Seetaramkumawat1907@gmail.com</t>
  </si>
  <si>
    <t>26°52'27.2"N 75°17'51.5"E</t>
  </si>
  <si>
    <t xml:space="preserve">NEERAJ GUPTA </t>
  </si>
  <si>
    <t>Techie.shivam93@gmail.com</t>
  </si>
  <si>
    <t>ARUNA PALIWAL</t>
  </si>
  <si>
    <t>paliwalmadanlal147@gmail.com</t>
  </si>
  <si>
    <t>PUNAM CHAND</t>
  </si>
  <si>
    <t>BENAD</t>
  </si>
  <si>
    <t>BADPEEPLI</t>
  </si>
  <si>
    <t>poonamchand8682@gmail.com</t>
  </si>
  <si>
    <t>26°59'53.4"N 75°44'14.4"E</t>
  </si>
  <si>
    <t>7k extra expense payment</t>
  </si>
  <si>
    <t>PARAG MANGAL</t>
  </si>
  <si>
    <t>sanganer</t>
  </si>
  <si>
    <t>NIRMAN NAGAR</t>
  </si>
  <si>
    <t>paragmangal.75@gmail.com</t>
  </si>
  <si>
    <t>26°53'08.8"N 75°45'11.8"E</t>
  </si>
  <si>
    <t xml:space="preserve">completed,
</t>
  </si>
  <si>
    <t>SANTOSH KUMAWAT</t>
  </si>
  <si>
    <t>LALKOTHI</t>
  </si>
  <si>
    <t>PATRAKAR</t>
  </si>
  <si>
    <t>mohitkumawat2909@gmail.com</t>
  </si>
  <si>
    <t>26°51'56.8"N 75°45'04.0"E</t>
  </si>
  <si>
    <t>SANJAY KUMAR SHARMA</t>
  </si>
  <si>
    <t>CHANDPOL</t>
  </si>
  <si>
    <t>sanjaysharma01091975@gmail.com</t>
  </si>
  <si>
    <t>26°50'05.2"N 75°42'16.8"E</t>
  </si>
  <si>
    <t>SUBSIDY
2 ND PAYMENT PENDING</t>
  </si>
  <si>
    <t>MADAN MOHAN SHARMA</t>
  </si>
  <si>
    <t>PATRAKAR_COLONY</t>
  </si>
  <si>
    <t>MMSHARMA354@GMAIL.COM</t>
  </si>
  <si>
    <t>26°51'18.3"N 75°44'34.0"E</t>
  </si>
  <si>
    <t>ABHA</t>
  </si>
  <si>
    <t xml:space="preserve"> yashsharma.vk@gmail.com</t>
  </si>
  <si>
    <t>RQP3+9P Jaipur, Rajasthan</t>
  </si>
  <si>
    <t>NAME UPDATE HOGA</t>
  </si>
  <si>
    <t>TEAJA DEVI</t>
  </si>
  <si>
    <t>NAGAL BOHRA</t>
  </si>
  <si>
    <t>VINODSAIBI050489@GMAIL.COM</t>
  </si>
  <si>
    <t>26°58'36.7"N 75°44'47.2"E</t>
  </si>
  <si>
    <t>PRIVATE SE LOAN KRNA H</t>
  </si>
  <si>
    <t>SANGITA DEVI</t>
  </si>
  <si>
    <t>99280 80167</t>
  </si>
  <si>
    <t>sunnymeema2003@gmail.com</t>
  </si>
  <si>
    <t>No</t>
  </si>
  <si>
    <t>Client</t>
  </si>
  <si>
    <t>RQCV+G7 Jaipur, Rajasthan</t>
  </si>
  <si>
    <t>QUATATION in bank</t>
  </si>
  <si>
    <t>FINAL DEAL</t>
  </si>
  <si>
    <t>PAYMENT TO US</t>
  </si>
  <si>
    <t>2ND INSTALLMENT</t>
  </si>
  <si>
    <t>TOTAL</t>
  </si>
  <si>
    <t>VENDOR REMOVE</t>
  </si>
  <si>
    <t>RATAN LAL</t>
  </si>
  <si>
    <t>RAJENDRA SINGH</t>
  </si>
  <si>
    <t>BHARATPUR</t>
  </si>
  <si>
    <t>KUMBER</t>
  </si>
  <si>
    <t>PREMJIT</t>
  </si>
  <si>
    <t>RAJ KUMAR</t>
  </si>
  <si>
    <t>MADHU KHURANA</t>
  </si>
  <si>
    <t>rajkumartam578@gmail.com</t>
  </si>
  <si>
    <t>SANGANER RURAL</t>
  </si>
  <si>
    <t>KHURANARAILWAY@GMAIL.COM</t>
  </si>
  <si>
    <t>26°48'06.3"N 75°52'08.7"E</t>
  </si>
  <si>
    <t>CANCLE</t>
  </si>
  <si>
    <t>UNESH KUMAR</t>
  </si>
  <si>
    <t>choudharyunesh2@gmail.com</t>
  </si>
  <si>
    <t>RAMAVATRA KUMAWAT</t>
  </si>
  <si>
    <t>MANDHA</t>
  </si>
  <si>
    <t>JITENDRA CHOUDHARY</t>
  </si>
  <si>
    <t>DOULATKUMAWAT6@GMAIL.COM</t>
  </si>
  <si>
    <t>ALWAR</t>
  </si>
  <si>
    <t>LAXMANGARH</t>
  </si>
  <si>
    <t>27°04'23.8"N 75°19'17.8"E</t>
  </si>
  <si>
    <t>AJAY SINGH</t>
  </si>
  <si>
    <t>KATHOOMAR</t>
  </si>
  <si>
    <t>ajaysinghssb@gmail.com</t>
  </si>
  <si>
    <t>TARESH SHARMA</t>
  </si>
  <si>
    <t>tareshsharama@gmail.com</t>
  </si>
  <si>
    <t>SHIV LAL</t>
  </si>
  <si>
    <r>
      <rPr>
        <rFont val="Calibri, sans-serif"/>
        <sz val="11.0"/>
        <u/>
      </rPr>
      <t>ANILJI0085@GMAIL.COM</t>
    </r>
  </si>
  <si>
    <t>SUJATA</t>
  </si>
  <si>
    <t>MIA</t>
  </si>
  <si>
    <r>
      <rPr>
        <rFont val="Calibri, sans-serif"/>
        <sz val="11.0"/>
        <u/>
      </rPr>
      <t>AJAY.ALWAR777@GMAIL.COM</t>
    </r>
  </si>
  <si>
    <t>PAN NHI H</t>
  </si>
  <si>
    <t>UDAI SINGH</t>
  </si>
  <si>
    <t>DEEG</t>
  </si>
  <si>
    <t>RAHUL KUMAR</t>
  </si>
  <si>
    <t>RAHULRAJANA5@GMAIL.COM</t>
  </si>
  <si>
    <t>VIRENDRA SINGH</t>
  </si>
  <si>
    <t>BANK NOT SHOW</t>
  </si>
  <si>
    <t>NAVEEN</t>
  </si>
  <si>
    <t>PRAHALA SINGH</t>
  </si>
  <si>
    <t>MANOJ</t>
  </si>
  <si>
    <t>MSS</t>
  </si>
  <si>
    <t>CHOUDHARYMANOJ9535@GMAIL.COM</t>
  </si>
  <si>
    <t>BHIM SINGH</t>
  </si>
  <si>
    <t>sitaramrayana00@gmail.com</t>
  </si>
  <si>
    <t>NO.OF SITES</t>
  </si>
  <si>
    <t>DEVO</t>
  </si>
  <si>
    <t>REJECTED</t>
  </si>
  <si>
    <t>BHARATPURA</t>
  </si>
  <si>
    <t>BRIJNAGAR</t>
  </si>
  <si>
    <t>rp469603@gmil.com</t>
  </si>
  <si>
    <t>IN PROGRESS</t>
  </si>
  <si>
    <t>DOC. ETC PENDING SITES</t>
  </si>
  <si>
    <t>BHAGVAN SINGH</t>
  </si>
  <si>
    <t>METER PENDING</t>
  </si>
  <si>
    <t>MUNESH DHAKAR</t>
  </si>
  <si>
    <t>OMVEER SINGH</t>
  </si>
  <si>
    <t>OMVERRSINGH61994@GMAIL.COM</t>
  </si>
  <si>
    <t>ROHIT JI</t>
  </si>
  <si>
    <t>SEESRAM GURJAR</t>
  </si>
  <si>
    <t>KHERLI</t>
  </si>
  <si>
    <t xml:space="preserve">     98291 29403</t>
  </si>
  <si>
    <t>KAVITA JI</t>
  </si>
  <si>
    <t>SATANARYAN JI</t>
  </si>
  <si>
    <t>AJAY JI</t>
  </si>
  <si>
    <t>SUNNY</t>
  </si>
  <si>
    <t>ROHIT JI PHULERA</t>
  </si>
  <si>
    <t>ARKSHAKTI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</si>
</sst>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9.0"/>
      <color rgb="FF007B8B"/>
      <name val="&quot;Google Sans&quot;"/>
    </font>
    <font>
      <u/>
      <color rgb="FF1155CC"/>
      <name val="Arial"/>
    </font>
    <font>
      <sz val="11.0"/>
      <color rgb="FF000000"/>
      <name val="Calibri"/>
    </font>
    <font>
      <sz val="9.0"/>
      <color rgb="FF000000"/>
      <name val="Poppins"/>
    </font>
    <font>
      <u/>
      <color rgb="FF0000FF"/>
    </font>
    <font>
      <sz val="11.0"/>
      <color rgb="FF1F1F1F"/>
      <name val="Google Sans"/>
    </font>
    <font>
      <u/>
      <sz val="11.0"/>
      <color rgb="FF0000FF"/>
      <name val="Calibri"/>
    </font>
    <font>
      <u/>
      <color rgb="FF0000FF"/>
    </font>
    <font>
      <u/>
      <color rgb="FF0000FF"/>
    </font>
    <font>
      <sz val="11.0"/>
      <color rgb="FF1F1F1F"/>
      <name val="&quot;Google Sans Text&quot;"/>
    </font>
    <font>
      <u/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b/>
      <u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b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horizontal="left" readingOrder="0" vertical="bottom"/>
    </xf>
    <xf borderId="0" fillId="4" fontId="1" numFmtId="0" xfId="0" applyAlignment="1" applyFill="1" applyFont="1">
      <alignment readingOrder="0" vertical="bottom"/>
    </xf>
    <xf borderId="0" fillId="3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5" fontId="5" numFmtId="0" xfId="0" applyAlignment="1" applyFill="1" applyFont="1">
      <alignment readingOrder="0" vertical="bottom"/>
    </xf>
    <xf borderId="0" fillId="5" fontId="5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4" fontId="5" numFmtId="0" xfId="0" applyAlignment="1" applyFont="1">
      <alignment horizontal="right" readingOrder="0"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4" fontId="4" numFmtId="0" xfId="0" applyAlignment="1" applyFont="1">
      <alignment horizontal="right" readingOrder="0" vertical="bottom"/>
    </xf>
    <xf borderId="0" fillId="5" fontId="5" numFmtId="0" xfId="0" applyAlignment="1" applyFont="1">
      <alignment horizontal="right" vertical="bottom"/>
    </xf>
    <xf borderId="0" fillId="5" fontId="5" numFmtId="0" xfId="0" applyAlignment="1" applyFont="1">
      <alignment horizontal="right" readingOrder="0" vertical="bottom"/>
    </xf>
    <xf borderId="0" fillId="5" fontId="6" numFmtId="0" xfId="0" applyAlignment="1" applyFont="1">
      <alignment readingOrder="0"/>
    </xf>
    <xf borderId="0" fillId="5" fontId="6" numFmtId="0" xfId="0" applyFont="1"/>
    <xf borderId="0" fillId="6" fontId="6" numFmtId="0" xfId="0" applyAlignment="1" applyFill="1" applyFont="1">
      <alignment readingOrder="0"/>
    </xf>
    <xf borderId="0" fillId="7" fontId="5" numFmtId="0" xfId="0" applyAlignment="1" applyFill="1" applyFont="1">
      <alignment readingOrder="0" vertical="bottom"/>
    </xf>
    <xf borderId="0" fillId="7" fontId="5" numFmtId="0" xfId="0" applyAlignment="1" applyFont="1">
      <alignment vertical="bottom"/>
    </xf>
    <xf borderId="0" fillId="7" fontId="5" numFmtId="0" xfId="0" applyAlignment="1" applyFont="1">
      <alignment horizontal="right" vertical="bottom"/>
    </xf>
    <xf borderId="0" fillId="5" fontId="4" numFmtId="0" xfId="0" applyAlignment="1" applyFont="1">
      <alignment horizontal="right" readingOrder="0" vertical="bottom"/>
    </xf>
    <xf borderId="0" fillId="7" fontId="7" numFmtId="0" xfId="0" applyAlignment="1" applyFont="1">
      <alignment vertical="bottom"/>
    </xf>
    <xf borderId="0" fillId="7" fontId="4" numFmtId="0" xfId="0" applyAlignment="1" applyFont="1">
      <alignment readingOrder="0" vertical="bottom"/>
    </xf>
    <xf borderId="0" fillId="7" fontId="5" numFmtId="0" xfId="0" applyAlignment="1" applyFont="1">
      <alignment horizontal="right" readingOrder="0" vertical="bottom"/>
    </xf>
    <xf borderId="0" fillId="4" fontId="4" numFmtId="0" xfId="0" applyAlignment="1" applyFont="1">
      <alignment vertical="bottom"/>
    </xf>
    <xf borderId="0" fillId="7" fontId="6" numFmtId="0" xfId="0" applyAlignment="1" applyFont="1">
      <alignment readingOrder="0"/>
    </xf>
    <xf borderId="0" fillId="7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7" fontId="4" numFmtId="0" xfId="0" applyAlignment="1" applyFont="1">
      <alignment vertical="bottom"/>
    </xf>
    <xf borderId="0" fillId="7" fontId="6" numFmtId="0" xfId="0" applyFont="1"/>
    <xf borderId="0" fillId="0" fontId="4" numFmtId="0" xfId="0" applyAlignment="1" applyFont="1">
      <alignment horizontal="right" readingOrder="0" vertical="bottom"/>
    </xf>
    <xf borderId="0" fillId="4" fontId="6" numFmtId="0" xfId="0" applyAlignment="1" applyFont="1">
      <alignment horizontal="right"/>
    </xf>
    <xf borderId="0" fillId="4" fontId="6" numFmtId="0" xfId="0" applyFont="1"/>
    <xf borderId="0" fillId="4" fontId="5" numFmtId="0" xfId="0" applyAlignment="1" applyFont="1">
      <alignment readingOrder="0" vertical="bottom"/>
    </xf>
    <xf borderId="0" fillId="4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4" fontId="4" numFmtId="0" xfId="0" applyAlignment="1" applyFont="1">
      <alignment horizontal="right" vertical="bottom"/>
    </xf>
    <xf borderId="0" fillId="7" fontId="4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7" fontId="4" numFmtId="0" xfId="0" applyAlignment="1" applyFont="1">
      <alignment vertical="bottom"/>
    </xf>
    <xf borderId="0" fillId="7" fontId="5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7" fontId="8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7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7" fontId="9" numFmtId="0" xfId="0" applyAlignment="1" applyFont="1">
      <alignment horizontal="left" readingOrder="0"/>
    </xf>
    <xf borderId="0" fillId="7" fontId="5" numFmtId="0" xfId="0" applyAlignment="1" applyFont="1">
      <alignment vertical="top"/>
    </xf>
    <xf borderId="0" fillId="7" fontId="10" numFmtId="0" xfId="0" applyAlignment="1" applyFont="1">
      <alignment vertical="bottom"/>
    </xf>
    <xf borderId="0" fillId="7" fontId="11" numFmtId="0" xfId="0" applyAlignment="1" applyFont="1">
      <alignment horizontal="right" readingOrder="0" shrinkToFit="0" vertical="bottom" wrapText="0"/>
    </xf>
    <xf borderId="0" fillId="7" fontId="12" numFmtId="0" xfId="0" applyAlignment="1" applyFont="1">
      <alignment readingOrder="0"/>
    </xf>
    <xf borderId="0" fillId="7" fontId="13" numFmtId="0" xfId="0" applyAlignment="1" applyFont="1">
      <alignment readingOrder="0"/>
    </xf>
    <xf borderId="0" fillId="8" fontId="4" numFmtId="0" xfId="0" applyAlignment="1" applyFill="1" applyFont="1">
      <alignment vertical="bottom"/>
    </xf>
    <xf borderId="0" fillId="0" fontId="6" numFmtId="0" xfId="0" applyFont="1"/>
    <xf borderId="0" fillId="9" fontId="6" numFmtId="0" xfId="0" applyFill="1" applyFont="1"/>
    <xf borderId="0" fillId="7" fontId="14" numFmtId="0" xfId="0" applyAlignment="1" applyFont="1">
      <alignment vertical="top"/>
    </xf>
    <xf borderId="0" fillId="9" fontId="4" numFmtId="0" xfId="0" applyAlignment="1" applyFont="1">
      <alignment vertical="bottom"/>
    </xf>
    <xf borderId="0" fillId="8" fontId="6" numFmtId="0" xfId="0" applyAlignment="1" applyFont="1">
      <alignment readingOrder="0"/>
    </xf>
    <xf borderId="0" fillId="8" fontId="6" numFmtId="0" xfId="0" applyFont="1"/>
    <xf borderId="0" fillId="8" fontId="5" numFmtId="0" xfId="0" applyAlignment="1" applyFont="1">
      <alignment vertical="bottom"/>
    </xf>
    <xf borderId="0" fillId="8" fontId="5" numFmtId="0" xfId="0" applyAlignment="1" applyFont="1">
      <alignment readingOrder="0" vertical="bottom"/>
    </xf>
    <xf borderId="0" fillId="9" fontId="6" numFmtId="0" xfId="0" applyAlignment="1" applyFont="1">
      <alignment readingOrder="0"/>
    </xf>
    <xf borderId="0" fillId="9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7" fontId="11" numFmtId="0" xfId="0" applyAlignment="1" applyFont="1">
      <alignment readingOrder="0" shrinkToFit="0" vertical="bottom" wrapText="0"/>
    </xf>
    <xf borderId="0" fillId="8" fontId="4" numFmtId="0" xfId="0" applyAlignment="1" applyFont="1">
      <alignment readingOrder="0" vertical="bottom"/>
    </xf>
    <xf borderId="0" fillId="10" fontId="4" numFmtId="0" xfId="0" applyAlignment="1" applyFill="1" applyFont="1">
      <alignment readingOrder="0" vertical="bottom"/>
    </xf>
    <xf borderId="0" fillId="10" fontId="4" numFmtId="0" xfId="0" applyAlignment="1" applyFont="1">
      <alignment vertical="bottom"/>
    </xf>
    <xf borderId="0" fillId="10" fontId="5" numFmtId="0" xfId="0" applyAlignment="1" applyFont="1">
      <alignment horizontal="right" vertical="bottom"/>
    </xf>
    <xf borderId="0" fillId="10" fontId="15" numFmtId="0" xfId="0" applyAlignment="1" applyFont="1">
      <alignment vertical="bottom"/>
    </xf>
    <xf borderId="0" fillId="10" fontId="6" numFmtId="0" xfId="0" applyAlignment="1" applyFont="1">
      <alignment readingOrder="0"/>
    </xf>
    <xf borderId="0" fillId="10" fontId="4" numFmtId="0" xfId="0" applyAlignment="1" applyFont="1">
      <alignment horizontal="right" readingOrder="0" vertical="bottom"/>
    </xf>
    <xf borderId="0" fillId="10" fontId="5" numFmtId="0" xfId="0" applyAlignment="1" applyFont="1">
      <alignment vertical="bottom"/>
    </xf>
    <xf borderId="0" fillId="10" fontId="5" numFmtId="0" xfId="0" applyAlignment="1" applyFont="1">
      <alignment readingOrder="0" vertical="bottom"/>
    </xf>
    <xf borderId="0" fillId="10" fontId="4" numFmtId="0" xfId="0" applyAlignment="1" applyFont="1">
      <alignment horizontal="right" vertical="bottom"/>
    </xf>
    <xf borderId="0" fillId="10" fontId="6" numFmtId="0" xfId="0" applyFont="1"/>
    <xf borderId="0" fillId="7" fontId="5" numFmtId="0" xfId="0" applyAlignment="1" applyFont="1">
      <alignment horizontal="left" readingOrder="0" vertical="bottom"/>
    </xf>
    <xf borderId="0" fillId="0" fontId="16" numFmtId="0" xfId="0" applyAlignment="1" applyFont="1">
      <alignment readingOrder="0"/>
    </xf>
    <xf borderId="0" fillId="11" fontId="6" numFmtId="0" xfId="0" applyAlignment="1" applyFill="1" applyFont="1">
      <alignment readingOrder="0"/>
    </xf>
    <xf borderId="0" fillId="11" fontId="17" numFmtId="0" xfId="0" applyAlignment="1" applyFont="1">
      <alignment readingOrder="0"/>
    </xf>
    <xf borderId="0" fillId="11" fontId="4" numFmtId="0" xfId="0" applyAlignment="1" applyFont="1">
      <alignment vertical="bottom"/>
    </xf>
    <xf borderId="0" fillId="11" fontId="5" numFmtId="0" xfId="0" applyAlignment="1" applyFont="1">
      <alignment readingOrder="0" vertical="bottom"/>
    </xf>
    <xf borderId="0" fillId="11" fontId="5" numFmtId="0" xfId="0" applyAlignment="1" applyFont="1">
      <alignment vertical="bottom"/>
    </xf>
    <xf borderId="0" fillId="11" fontId="4" numFmtId="0" xfId="0" applyAlignment="1" applyFont="1">
      <alignment readingOrder="0" vertical="bottom"/>
    </xf>
    <xf borderId="0" fillId="0" fontId="18" numFmtId="0" xfId="0" applyAlignment="1" applyFont="1">
      <alignment readingOrder="0" vertical="top"/>
    </xf>
    <xf borderId="0" fillId="12" fontId="6" numFmtId="0" xfId="0" applyAlignment="1" applyFill="1" applyFont="1">
      <alignment horizontal="right"/>
    </xf>
    <xf borderId="0" fillId="7" fontId="19" numFmtId="0" xfId="0" applyAlignment="1" applyFont="1">
      <alignment readingOrder="0" vertical="bottom"/>
    </xf>
    <xf borderId="0" fillId="13" fontId="4" numFmtId="0" xfId="0" applyAlignment="1" applyFill="1" applyFont="1">
      <alignment readingOrder="0" vertical="bottom"/>
    </xf>
    <xf borderId="0" fillId="13" fontId="4" numFmtId="0" xfId="0" applyAlignment="1" applyFont="1">
      <alignment vertical="bottom"/>
    </xf>
    <xf borderId="0" fillId="13" fontId="4" numFmtId="0" xfId="0" applyAlignment="1" applyFont="1">
      <alignment horizontal="right" vertical="bottom"/>
    </xf>
    <xf borderId="0" fillId="13" fontId="5" numFmtId="0" xfId="0" applyAlignment="1" applyFont="1">
      <alignment horizontal="right" vertical="bottom"/>
    </xf>
    <xf borderId="0" fillId="13" fontId="5" numFmtId="0" xfId="0" applyAlignment="1" applyFont="1">
      <alignment vertical="bottom"/>
    </xf>
    <xf borderId="0" fillId="13" fontId="20" numFmtId="0" xfId="0" applyAlignment="1" applyFont="1">
      <alignment vertical="bottom"/>
    </xf>
    <xf borderId="0" fillId="13" fontId="6" numFmtId="0" xfId="0" applyAlignment="1" applyFont="1">
      <alignment readingOrder="0"/>
    </xf>
    <xf borderId="0" fillId="9" fontId="4" numFmtId="0" xfId="0" applyAlignment="1" applyFont="1">
      <alignment horizontal="right" vertical="bottom"/>
    </xf>
    <xf borderId="0" fillId="9" fontId="5" numFmtId="0" xfId="0" applyAlignment="1" applyFont="1">
      <alignment horizontal="right" vertical="bottom"/>
    </xf>
    <xf borderId="0" fillId="9" fontId="21" numFmtId="0" xfId="0" applyAlignment="1" applyFont="1">
      <alignment vertical="bottom"/>
    </xf>
    <xf borderId="0" fillId="9" fontId="5" numFmtId="0" xfId="0" applyAlignment="1" applyFont="1">
      <alignment vertical="bottom"/>
    </xf>
    <xf borderId="0" fillId="9" fontId="5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14" fontId="23" numFmtId="0" xfId="0" applyAlignment="1" applyFill="1" applyFont="1">
      <alignment horizontal="left" readingOrder="0"/>
    </xf>
    <xf borderId="0" fillId="15" fontId="4" numFmtId="0" xfId="0" applyAlignment="1" applyFill="1" applyFont="1">
      <alignment vertical="bottom"/>
    </xf>
    <xf borderId="0" fillId="15" fontId="4" numFmtId="0" xfId="0" applyAlignment="1" applyFont="1">
      <alignment readingOrder="0" vertical="bottom"/>
    </xf>
    <xf borderId="0" fillId="15" fontId="4" numFmtId="0" xfId="0" applyAlignment="1" applyFont="1">
      <alignment horizontal="right" vertical="bottom"/>
    </xf>
    <xf borderId="0" fillId="15" fontId="4" numFmtId="0" xfId="0" applyAlignment="1" applyFont="1">
      <alignment horizontal="right" readingOrder="0" vertical="bottom"/>
    </xf>
    <xf borderId="0" fillId="15" fontId="5" numFmtId="0" xfId="0" applyAlignment="1" applyFont="1">
      <alignment vertical="bottom"/>
    </xf>
    <xf borderId="0" fillId="15" fontId="5" numFmtId="0" xfId="0" applyAlignment="1" applyFont="1">
      <alignment readingOrder="0" vertical="bottom"/>
    </xf>
    <xf borderId="0" fillId="15" fontId="6" numFmtId="0" xfId="0" applyFont="1"/>
    <xf borderId="0" fillId="15" fontId="6" numFmtId="0" xfId="0" applyAlignment="1" applyFont="1">
      <alignment readingOrder="0"/>
    </xf>
    <xf borderId="0" fillId="0" fontId="24" numFmtId="0" xfId="0" applyAlignment="1" applyFont="1">
      <alignment readingOrder="0"/>
    </xf>
    <xf borderId="0" fillId="15" fontId="25" numFmtId="0" xfId="0" applyAlignment="1" applyFont="1">
      <alignment readingOrder="0"/>
    </xf>
    <xf borderId="0" fillId="15" fontId="4" numFmtId="0" xfId="0" applyAlignment="1" applyFont="1">
      <alignment horizontal="right" vertical="bottom"/>
    </xf>
    <xf borderId="0" fillId="0" fontId="23" numFmtId="0" xfId="0" applyAlignment="1" applyFont="1">
      <alignment readingOrder="0"/>
    </xf>
    <xf borderId="0" fillId="4" fontId="5" numFmtId="0" xfId="0" applyAlignment="1" applyFont="1">
      <alignment vertical="bottom"/>
    </xf>
    <xf borderId="0" fillId="0" fontId="26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27" numFmtId="0" xfId="0" applyAlignment="1" applyFont="1">
      <alignment vertical="bottom"/>
    </xf>
    <xf borderId="0" fillId="12" fontId="4" numFmtId="0" xfId="0" applyAlignment="1" applyFont="1">
      <alignment vertical="bottom"/>
    </xf>
    <xf borderId="0" fillId="5" fontId="28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1" fillId="15" fontId="11" numFmtId="0" xfId="0" applyAlignment="1" applyBorder="1" applyFont="1">
      <alignment readingOrder="0" shrinkToFit="0" wrapText="0"/>
    </xf>
    <xf borderId="1" fillId="16" fontId="11" numFmtId="0" xfId="0" applyAlignment="1" applyBorder="1" applyFill="1" applyFont="1">
      <alignment readingOrder="0" shrinkToFit="0" vertical="bottom" wrapText="0"/>
    </xf>
    <xf borderId="2" fillId="16" fontId="11" numFmtId="0" xfId="0" applyAlignment="1" applyBorder="1" applyFont="1">
      <alignment readingOrder="0" shrinkToFit="0" vertical="bottom" wrapText="0"/>
    </xf>
    <xf borderId="3" fillId="16" fontId="11" numFmtId="0" xfId="0" applyAlignment="1" applyBorder="1" applyFont="1">
      <alignment readingOrder="0" shrinkToFit="0" vertical="bottom" wrapText="0"/>
    </xf>
    <xf borderId="1" fillId="7" fontId="6" numFmtId="0" xfId="0" applyAlignment="1" applyBorder="1" applyFont="1">
      <alignment readingOrder="0"/>
    </xf>
    <xf borderId="0" fillId="0" fontId="31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11" numFmtId="0" xfId="0" applyAlignment="1" applyBorder="1" applyFont="1">
      <alignment shrinkToFit="0" vertical="bottom" wrapText="0"/>
    </xf>
    <xf borderId="4" fillId="15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SOHANKUMAWAT310@GMAIL.COM" TargetMode="External"/><Relationship Id="rId3" Type="http://schemas.openxmlformats.org/officeDocument/2006/relationships/hyperlink" Target="mailto:ASHOKNARWAL73@ICLOUD.COM" TargetMode="External"/><Relationship Id="rId4" Type="http://schemas.openxmlformats.org/officeDocument/2006/relationships/hyperlink" Target="https://maps.app.goo.gl/hLD6XMWq8Piqmn7B9?g_st=aw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goo.gl/maps/W5eCVVrmGxMHixis6?g_st=aw" TargetMode="External"/><Relationship Id="rId6" Type="http://schemas.openxmlformats.org/officeDocument/2006/relationships/hyperlink" Target="mailto:KSUNAND@gmail.com" TargetMode="External"/><Relationship Id="rId7" Type="http://schemas.openxmlformats.org/officeDocument/2006/relationships/hyperlink" Target="https://maps.app.goo.gl/L8mwF8NwZcfiQYPT8?g_st=aw" TargetMode="External"/><Relationship Id="rId8" Type="http://schemas.openxmlformats.org/officeDocument/2006/relationships/hyperlink" Target="https://maps.app.goo.gl/qpGz63SHLsPozd789?g_st=a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AJAYYADAV00393@GMAIL.COM" TargetMode="External"/><Relationship Id="rId3" Type="http://schemas.openxmlformats.org/officeDocument/2006/relationships/hyperlink" Target="mailto:SHYAM.IT.PROFESSIONAL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https://maps.app.goo.gl/6FbxTbDN5M5n4rGb8?g_st=ipc" TargetMode="External"/><Relationship Id="rId3" Type="http://schemas.openxmlformats.org/officeDocument/2006/relationships/hyperlink" Target="https://maps.google.com/?q=27.192663,75.400536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RAKESHJEWELLRY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https://maps.app.goo.gl/tLo1CgfxC3gx5N158?g_st=aw" TargetMode="External"/><Relationship Id="rId3" Type="http://schemas.openxmlformats.org/officeDocument/2006/relationships/hyperlink" Target="https://maps.app.goo.gl/NHah8eNnzHvqbRbp8?g_st=aw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KAILASHKUMAWAT1001@GMAIL.COM" TargetMode="External"/><Relationship Id="rId3" Type="http://schemas.openxmlformats.org/officeDocument/2006/relationships/hyperlink" Target="https://maps.app.goo.gl/X2zbd1dBz4cJG7EW8?g_st=awb" TargetMode="External"/><Relationship Id="rId4" Type="http://schemas.openxmlformats.org/officeDocument/2006/relationships/hyperlink" Target="https://goo.gl/maps/vNkPP3VEgzyj8kmZ9?g_st=ac" TargetMode="External"/><Relationship Id="rId5" Type="http://schemas.openxmlformats.org/officeDocument/2006/relationships/hyperlink" Target="mailto:gs6725039@gmail.com" TargetMode="External"/><Relationship Id="rId6" Type="http://schemas.openxmlformats.org/officeDocument/2006/relationships/hyperlink" Target="mailto:geetah101081@gmail.com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JmFhQmTsbCkvEwN8?g_st=aw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ANILJI0085@GMAIL.COM" TargetMode="External"/><Relationship Id="rId3" Type="http://schemas.openxmlformats.org/officeDocument/2006/relationships/hyperlink" Target="mailto:AJAY.ALWAR777@GMAIL.COM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34.75"/>
    <col customWidth="1" min="3" max="3" width="27.63"/>
    <col customWidth="1" min="4" max="4" width="6.5"/>
    <col customWidth="1" min="5" max="5" width="4.25"/>
    <col customWidth="1" min="6" max="6" width="6.38"/>
    <col customWidth="1" min="7" max="7" width="15.88"/>
    <col customWidth="1" min="8" max="8" width="17.25"/>
    <col customWidth="1" min="9" max="9" width="12.13"/>
    <col customWidth="1" min="10" max="10" width="10.25"/>
    <col customWidth="1" min="11" max="11" width="35.0"/>
    <col customWidth="1" min="12" max="12" width="43.5"/>
    <col customWidth="1" min="13" max="13" width="16.75"/>
    <col customWidth="1" min="14" max="14" width="18.25"/>
    <col customWidth="1" min="15" max="16" width="6.5"/>
    <col customWidth="1" min="17" max="17" width="16.0"/>
    <col customWidth="1" min="18" max="18" width="16.5"/>
    <col customWidth="1" min="19" max="19" width="17.0"/>
    <col customWidth="1" min="20" max="20" width="21.5"/>
    <col customWidth="1" min="21" max="21" width="27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8.5"/>
    <col customWidth="1" min="27" max="27" width="21.5"/>
    <col customWidth="1" min="28" max="28" width="15.13"/>
    <col customWidth="1" min="29" max="29" width="21.0"/>
    <col customWidth="1" min="30" max="30" width="28.13"/>
    <col customWidth="1" min="31" max="73" width="30.13"/>
  </cols>
  <sheetData>
    <row r="1">
      <c r="A1" s="1" t="s">
        <v>0</v>
      </c>
      <c r="B1" s="3" t="s">
        <v>2</v>
      </c>
      <c r="C1" s="4" t="s">
        <v>4</v>
      </c>
      <c r="D1" s="4" t="s">
        <v>5</v>
      </c>
      <c r="E1" s="3" t="s">
        <v>6</v>
      </c>
      <c r="F1" s="3" t="s">
        <v>9</v>
      </c>
      <c r="G1" s="4" t="s">
        <v>8</v>
      </c>
      <c r="H1" s="4" t="s">
        <v>10</v>
      </c>
      <c r="I1" s="5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23</v>
      </c>
      <c r="O1" s="4" t="s">
        <v>18</v>
      </c>
      <c r="P1" s="3" t="s">
        <v>26</v>
      </c>
      <c r="Q1" s="7" t="s">
        <v>28</v>
      </c>
      <c r="R1" s="7" t="s">
        <v>21</v>
      </c>
      <c r="S1" s="7" t="s">
        <v>22</v>
      </c>
      <c r="T1" s="7" t="s">
        <v>24</v>
      </c>
      <c r="U1" s="10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39</v>
      </c>
      <c r="AA1" s="13" t="s">
        <v>33</v>
      </c>
      <c r="AB1" s="9" t="s">
        <v>36</v>
      </c>
      <c r="AC1" s="9" t="s">
        <v>40</v>
      </c>
      <c r="AD1" s="15" t="s">
        <v>38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>
      <c r="A2" s="24">
        <v>1.0</v>
      </c>
      <c r="B2" s="20" t="s">
        <v>51</v>
      </c>
      <c r="C2" s="20" t="s">
        <v>53</v>
      </c>
      <c r="D2" s="23" t="s">
        <v>55</v>
      </c>
      <c r="E2" s="20" t="s">
        <v>58</v>
      </c>
      <c r="F2" s="23"/>
      <c r="G2" s="23" t="s">
        <v>59</v>
      </c>
      <c r="H2" s="23" t="s">
        <v>60</v>
      </c>
      <c r="I2" s="22">
        <v>2.10475041693E11</v>
      </c>
      <c r="J2" s="22">
        <v>8.949518513E9</v>
      </c>
      <c r="K2" s="23" t="s">
        <v>63</v>
      </c>
      <c r="L2" s="23" t="s">
        <v>64</v>
      </c>
      <c r="M2" s="22">
        <v>389000.0</v>
      </c>
      <c r="N2" s="22">
        <v>389000.0</v>
      </c>
      <c r="O2" s="22">
        <v>0.0</v>
      </c>
      <c r="P2" s="22"/>
      <c r="Q2" s="19" t="s">
        <v>28</v>
      </c>
      <c r="R2" s="19" t="s">
        <v>69</v>
      </c>
      <c r="S2" s="19" t="s">
        <v>74</v>
      </c>
      <c r="T2" s="29" t="s">
        <v>68</v>
      </c>
      <c r="U2" s="20" t="s">
        <v>70</v>
      </c>
      <c r="V2" s="20" t="s">
        <v>72</v>
      </c>
      <c r="W2" s="23"/>
      <c r="X2" s="23"/>
      <c r="Y2" s="22"/>
      <c r="Z2" s="22"/>
      <c r="AA2" s="22"/>
      <c r="AB2" s="22">
        <f t="shared" ref="AB2:AB4" si="1">Z2+AA2</f>
        <v>0</v>
      </c>
      <c r="AC2" s="22">
        <f t="shared" ref="AC2:AC4" si="2">W2+X2+Y2</f>
        <v>0</v>
      </c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</row>
    <row r="3">
      <c r="A3" s="21">
        <v>2.0</v>
      </c>
      <c r="B3" s="18" t="s">
        <v>94</v>
      </c>
      <c r="C3" s="23" t="s">
        <v>96</v>
      </c>
      <c r="D3" s="23" t="s">
        <v>43</v>
      </c>
      <c r="E3" s="20" t="s">
        <v>44</v>
      </c>
      <c r="F3" s="23"/>
      <c r="G3" s="23" t="s">
        <v>100</v>
      </c>
      <c r="H3" s="23" t="s">
        <v>92</v>
      </c>
      <c r="I3" s="22">
        <v>2.11543027987E11</v>
      </c>
      <c r="J3" s="22">
        <v>9.667778772E9</v>
      </c>
      <c r="K3" s="23" t="s">
        <v>101</v>
      </c>
      <c r="L3" s="28"/>
      <c r="M3" s="22">
        <v>200000.0</v>
      </c>
      <c r="N3" s="22">
        <v>180000.0</v>
      </c>
      <c r="O3" s="22">
        <v>180000.0</v>
      </c>
      <c r="P3" s="22"/>
      <c r="Q3" s="19" t="s">
        <v>28</v>
      </c>
      <c r="R3" s="19" t="s">
        <v>65</v>
      </c>
      <c r="S3" s="18" t="s">
        <v>67</v>
      </c>
      <c r="T3" s="29" t="s">
        <v>68</v>
      </c>
      <c r="U3" s="23" t="s">
        <v>70</v>
      </c>
      <c r="V3" s="20" t="s">
        <v>72</v>
      </c>
      <c r="W3" s="23"/>
      <c r="X3" s="22"/>
      <c r="Y3" s="23"/>
      <c r="Z3" s="23"/>
      <c r="AA3" s="23"/>
      <c r="AB3" s="22">
        <f t="shared" si="1"/>
        <v>0</v>
      </c>
      <c r="AC3" s="22">
        <f t="shared" si="2"/>
        <v>0</v>
      </c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</row>
    <row r="4">
      <c r="A4" s="43">
        <v>3.0</v>
      </c>
      <c r="B4" s="27" t="s">
        <v>108</v>
      </c>
      <c r="C4" s="28"/>
      <c r="D4" s="27" t="s">
        <v>110</v>
      </c>
      <c r="E4" s="28"/>
      <c r="F4" s="28"/>
      <c r="G4" s="28"/>
      <c r="H4" s="28"/>
      <c r="I4" s="28"/>
      <c r="J4" s="27">
        <v>8.619394617E9</v>
      </c>
      <c r="K4" s="27" t="s">
        <v>111</v>
      </c>
      <c r="L4" s="27" t="s">
        <v>112</v>
      </c>
      <c r="M4" s="27">
        <v>225000.0</v>
      </c>
      <c r="N4" s="27">
        <v>280000.0</v>
      </c>
      <c r="O4" s="28"/>
      <c r="P4" s="23">
        <f>N4-O4</f>
        <v>280000</v>
      </c>
      <c r="Q4" s="18" t="s">
        <v>66</v>
      </c>
      <c r="R4" s="19" t="s">
        <v>69</v>
      </c>
      <c r="S4" s="19" t="s">
        <v>71</v>
      </c>
      <c r="T4" s="29" t="s">
        <v>68</v>
      </c>
      <c r="U4" s="23" t="s">
        <v>70</v>
      </c>
      <c r="V4" s="20" t="s">
        <v>72</v>
      </c>
      <c r="W4" s="28"/>
      <c r="X4" s="28"/>
      <c r="Y4" s="28"/>
      <c r="Z4" s="22">
        <f>O4-W4-X4</f>
        <v>0</v>
      </c>
      <c r="AA4" s="22">
        <f>P4-Y4</f>
        <v>280000</v>
      </c>
      <c r="AB4" s="22">
        <f t="shared" si="1"/>
        <v>280000</v>
      </c>
      <c r="AC4" s="22">
        <f t="shared" si="2"/>
        <v>0</v>
      </c>
      <c r="AD4" s="44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</row>
    <row r="5">
      <c r="A5" s="43">
        <v>4.0</v>
      </c>
      <c r="B5" s="27" t="s">
        <v>128</v>
      </c>
      <c r="C5" s="27" t="s">
        <v>130</v>
      </c>
      <c r="D5" s="27" t="s">
        <v>132</v>
      </c>
      <c r="E5" s="27" t="s">
        <v>44</v>
      </c>
      <c r="F5" s="27"/>
      <c r="G5" s="27" t="s">
        <v>133</v>
      </c>
      <c r="H5" s="27" t="s">
        <v>124</v>
      </c>
      <c r="I5" s="27">
        <v>2.11525046382E11</v>
      </c>
      <c r="J5" s="27">
        <v>7.793053843E9</v>
      </c>
      <c r="K5" s="27" t="s">
        <v>136</v>
      </c>
      <c r="L5" s="27" t="s">
        <v>137</v>
      </c>
      <c r="M5" s="27">
        <v>206000.0</v>
      </c>
      <c r="N5" s="27">
        <v>185000.0</v>
      </c>
      <c r="O5" s="28"/>
      <c r="P5" s="23"/>
      <c r="Q5" s="18" t="s">
        <v>28</v>
      </c>
      <c r="R5" s="19" t="s">
        <v>69</v>
      </c>
      <c r="S5" s="19" t="s">
        <v>71</v>
      </c>
      <c r="T5" s="29" t="s">
        <v>68</v>
      </c>
      <c r="U5" s="23" t="s">
        <v>70</v>
      </c>
      <c r="V5" s="20" t="s">
        <v>72</v>
      </c>
      <c r="W5" s="28"/>
      <c r="X5" s="28"/>
      <c r="Y5" s="28"/>
      <c r="Z5" s="22"/>
      <c r="AA5" s="22"/>
      <c r="AB5" s="22"/>
      <c r="AC5" s="22"/>
      <c r="AD5" s="48"/>
    </row>
    <row r="6">
      <c r="A6" s="24">
        <v>5.0</v>
      </c>
      <c r="B6" s="23" t="s">
        <v>143</v>
      </c>
      <c r="C6" s="23" t="s">
        <v>144</v>
      </c>
      <c r="D6" s="23" t="s">
        <v>104</v>
      </c>
      <c r="E6" s="20" t="s">
        <v>44</v>
      </c>
      <c r="F6" s="23"/>
      <c r="G6" s="23" t="s">
        <v>100</v>
      </c>
      <c r="H6" s="23" t="s">
        <v>92</v>
      </c>
      <c r="I6" s="22">
        <v>2.11543005127E11</v>
      </c>
      <c r="J6" s="20">
        <v>9.462077152E9</v>
      </c>
      <c r="K6" s="23" t="s">
        <v>145</v>
      </c>
      <c r="L6" s="23" t="s">
        <v>146</v>
      </c>
      <c r="M6" s="20">
        <v>225000.0</v>
      </c>
      <c r="N6" s="20">
        <v>270000.0</v>
      </c>
      <c r="O6" s="23"/>
      <c r="P6" s="23">
        <f t="shared" ref="P6:P36" si="3">N6-O6</f>
        <v>270000</v>
      </c>
      <c r="Q6" s="19" t="s">
        <v>66</v>
      </c>
      <c r="R6" s="19" t="s">
        <v>69</v>
      </c>
      <c r="S6" s="19" t="s">
        <v>71</v>
      </c>
      <c r="T6" s="29" t="s">
        <v>68</v>
      </c>
      <c r="U6" s="23" t="s">
        <v>70</v>
      </c>
      <c r="V6" s="20" t="s">
        <v>72</v>
      </c>
      <c r="W6" s="23"/>
      <c r="X6" s="23"/>
      <c r="Y6" s="23"/>
      <c r="Z6" s="22">
        <f t="shared" ref="Z6:Z67" si="4">O6-W6-X6</f>
        <v>0</v>
      </c>
      <c r="AA6" s="22">
        <f t="shared" ref="AA6:AA67" si="5">P6-Y6</f>
        <v>270000</v>
      </c>
      <c r="AB6" s="22">
        <f t="shared" ref="AB6:AB67" si="6">Z6+AA6</f>
        <v>270000</v>
      </c>
      <c r="AC6" s="22">
        <f t="shared" ref="AC6:AC67" si="7">W6+X6+Y6</f>
        <v>0</v>
      </c>
      <c r="AD6" s="40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</row>
    <row r="7">
      <c r="A7" s="24">
        <v>6.0</v>
      </c>
      <c r="B7" s="27" t="s">
        <v>94</v>
      </c>
      <c r="C7" s="27" t="s">
        <v>159</v>
      </c>
      <c r="D7" s="27" t="s">
        <v>43</v>
      </c>
      <c r="E7" s="27" t="s">
        <v>44</v>
      </c>
      <c r="F7" s="27" t="s">
        <v>162</v>
      </c>
      <c r="G7" s="27" t="s">
        <v>163</v>
      </c>
      <c r="H7" s="27" t="s">
        <v>164</v>
      </c>
      <c r="I7" s="27">
        <v>2.11544015872E11</v>
      </c>
      <c r="J7" s="27">
        <v>9.950016481E9</v>
      </c>
      <c r="K7" s="27" t="s">
        <v>166</v>
      </c>
      <c r="L7" s="27" t="s">
        <v>167</v>
      </c>
      <c r="M7" s="27">
        <v>211000.0</v>
      </c>
      <c r="N7" s="27">
        <v>190000.0</v>
      </c>
      <c r="O7" s="27">
        <v>190000.0</v>
      </c>
      <c r="P7" s="23">
        <f t="shared" si="3"/>
        <v>0</v>
      </c>
      <c r="Q7" s="19" t="s">
        <v>28</v>
      </c>
      <c r="R7" s="18" t="s">
        <v>69</v>
      </c>
      <c r="S7" s="18" t="s">
        <v>73</v>
      </c>
      <c r="T7" s="29" t="s">
        <v>68</v>
      </c>
      <c r="U7" s="23" t="s">
        <v>70</v>
      </c>
      <c r="V7" s="20" t="s">
        <v>72</v>
      </c>
      <c r="W7" s="27">
        <v>0.0</v>
      </c>
      <c r="X7" s="27">
        <v>0.0</v>
      </c>
      <c r="Y7" s="27">
        <v>0.0</v>
      </c>
      <c r="Z7" s="22">
        <f t="shared" si="4"/>
        <v>190000</v>
      </c>
      <c r="AA7" s="22">
        <f t="shared" si="5"/>
        <v>0</v>
      </c>
      <c r="AB7" s="22">
        <f t="shared" si="6"/>
        <v>190000</v>
      </c>
      <c r="AC7" s="22">
        <f t="shared" si="7"/>
        <v>0</v>
      </c>
      <c r="AD7" s="43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</row>
    <row r="8">
      <c r="A8" s="24">
        <v>7.0</v>
      </c>
      <c r="B8" s="27" t="s">
        <v>54</v>
      </c>
      <c r="C8" s="27" t="s">
        <v>183</v>
      </c>
      <c r="D8" s="27" t="s">
        <v>104</v>
      </c>
      <c r="E8" s="27" t="s">
        <v>44</v>
      </c>
      <c r="F8" s="28"/>
      <c r="G8" s="28"/>
      <c r="H8" s="27" t="s">
        <v>92</v>
      </c>
      <c r="I8" s="27">
        <v>2.1154300771E11</v>
      </c>
      <c r="J8" s="27">
        <v>9.982563365E9</v>
      </c>
      <c r="K8" s="27" t="s">
        <v>188</v>
      </c>
      <c r="L8" s="28"/>
      <c r="M8" s="28"/>
      <c r="N8" s="28"/>
      <c r="O8" s="28"/>
      <c r="P8" s="23">
        <f t="shared" si="3"/>
        <v>0</v>
      </c>
      <c r="Q8" s="18" t="s">
        <v>66</v>
      </c>
      <c r="R8" s="19" t="s">
        <v>69</v>
      </c>
      <c r="S8" s="19" t="s">
        <v>71</v>
      </c>
      <c r="T8" s="29" t="s">
        <v>68</v>
      </c>
      <c r="U8" s="23" t="s">
        <v>70</v>
      </c>
      <c r="V8" s="20" t="s">
        <v>72</v>
      </c>
      <c r="W8" s="28"/>
      <c r="X8" s="28"/>
      <c r="Y8" s="28"/>
      <c r="Z8" s="22">
        <f t="shared" si="4"/>
        <v>0</v>
      </c>
      <c r="AA8" s="22">
        <f t="shared" si="5"/>
        <v>0</v>
      </c>
      <c r="AB8" s="22">
        <f t="shared" si="6"/>
        <v>0</v>
      </c>
      <c r="AC8" s="22">
        <f t="shared" si="7"/>
        <v>0</v>
      </c>
      <c r="AD8" s="48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</row>
    <row r="9">
      <c r="A9" s="24">
        <v>8.0</v>
      </c>
      <c r="B9" s="27" t="s">
        <v>41</v>
      </c>
      <c r="C9" s="27" t="s">
        <v>199</v>
      </c>
      <c r="D9" s="27" t="s">
        <v>43</v>
      </c>
      <c r="E9" s="27" t="s">
        <v>44</v>
      </c>
      <c r="F9" s="27" t="s">
        <v>77</v>
      </c>
      <c r="G9" s="27" t="s">
        <v>202</v>
      </c>
      <c r="H9" s="27" t="s">
        <v>92</v>
      </c>
      <c r="I9" s="27">
        <v>2.11543031209E11</v>
      </c>
      <c r="J9" s="27">
        <v>9.799060293E9</v>
      </c>
      <c r="K9" s="27" t="s">
        <v>203</v>
      </c>
      <c r="L9" s="27" t="s">
        <v>205</v>
      </c>
      <c r="M9" s="27">
        <v>212000.0</v>
      </c>
      <c r="N9" s="27">
        <v>190000.0</v>
      </c>
      <c r="O9" s="27">
        <v>190000.0</v>
      </c>
      <c r="P9" s="23">
        <f t="shared" si="3"/>
        <v>0</v>
      </c>
      <c r="Q9" s="19" t="s">
        <v>28</v>
      </c>
      <c r="R9" s="19" t="s">
        <v>69</v>
      </c>
      <c r="S9" s="18" t="s">
        <v>67</v>
      </c>
      <c r="T9" s="27" t="s">
        <v>68</v>
      </c>
      <c r="U9" s="23" t="s">
        <v>70</v>
      </c>
      <c r="V9" s="20" t="s">
        <v>72</v>
      </c>
      <c r="W9" s="27">
        <v>0.0</v>
      </c>
      <c r="X9" s="27">
        <v>0.0</v>
      </c>
      <c r="Y9" s="27">
        <v>0.0</v>
      </c>
      <c r="Z9" s="22">
        <f t="shared" si="4"/>
        <v>190000</v>
      </c>
      <c r="AA9" s="22">
        <f t="shared" si="5"/>
        <v>0</v>
      </c>
      <c r="AB9" s="22">
        <f t="shared" si="6"/>
        <v>190000</v>
      </c>
      <c r="AC9" s="22">
        <f t="shared" si="7"/>
        <v>0</v>
      </c>
      <c r="AD9" s="43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</row>
    <row r="10">
      <c r="A10" s="24">
        <v>9.0</v>
      </c>
      <c r="B10" s="27" t="s">
        <v>211</v>
      </c>
      <c r="C10" s="27" t="s">
        <v>212</v>
      </c>
      <c r="D10" s="27" t="s">
        <v>55</v>
      </c>
      <c r="E10" s="27" t="s">
        <v>58</v>
      </c>
      <c r="F10" s="27"/>
      <c r="G10" s="27" t="s">
        <v>213</v>
      </c>
      <c r="H10" s="27" t="s">
        <v>215</v>
      </c>
      <c r="I10" s="27">
        <v>2.10416018682E11</v>
      </c>
      <c r="J10" s="27">
        <v>9.799390746E9</v>
      </c>
      <c r="K10" s="27" t="s">
        <v>217</v>
      </c>
      <c r="L10" s="27" t="s">
        <v>218</v>
      </c>
      <c r="M10" s="28"/>
      <c r="N10" s="27">
        <v>400000.0</v>
      </c>
      <c r="O10" s="28"/>
      <c r="P10" s="23">
        <f t="shared" si="3"/>
        <v>400000</v>
      </c>
      <c r="Q10" s="18" t="s">
        <v>66</v>
      </c>
      <c r="R10" s="19" t="s">
        <v>69</v>
      </c>
      <c r="S10" s="19" t="s">
        <v>71</v>
      </c>
      <c r="T10" s="27" t="s">
        <v>194</v>
      </c>
      <c r="U10" s="23" t="s">
        <v>70</v>
      </c>
      <c r="V10" s="20" t="s">
        <v>72</v>
      </c>
      <c r="W10" s="28"/>
      <c r="X10" s="28"/>
      <c r="Y10" s="28"/>
      <c r="Z10" s="22">
        <f t="shared" si="4"/>
        <v>0</v>
      </c>
      <c r="AA10" s="22">
        <f t="shared" si="5"/>
        <v>400000</v>
      </c>
      <c r="AB10" s="22">
        <f t="shared" si="6"/>
        <v>400000</v>
      </c>
      <c r="AC10" s="22">
        <f t="shared" si="7"/>
        <v>0</v>
      </c>
      <c r="AD10" s="48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</row>
    <row r="11">
      <c r="A11" s="24">
        <v>1.0</v>
      </c>
      <c r="B11" s="35" t="s">
        <v>102</v>
      </c>
      <c r="C11" s="41" t="s">
        <v>222</v>
      </c>
      <c r="D11" s="41" t="s">
        <v>43</v>
      </c>
      <c r="E11" s="35" t="s">
        <v>44</v>
      </c>
      <c r="F11" s="41"/>
      <c r="G11" s="41" t="s">
        <v>90</v>
      </c>
      <c r="H11" s="41" t="s">
        <v>92</v>
      </c>
      <c r="I11" s="39">
        <v>2.11543006721E11</v>
      </c>
      <c r="J11" s="39">
        <v>9.660574963E9</v>
      </c>
      <c r="K11" s="41" t="s">
        <v>224</v>
      </c>
      <c r="L11" s="41"/>
      <c r="M11" s="39">
        <v>178000.0</v>
      </c>
      <c r="N11" s="39">
        <v>178000.0</v>
      </c>
      <c r="O11" s="35">
        <v>0.0</v>
      </c>
      <c r="P11" s="41">
        <f t="shared" si="3"/>
        <v>178000</v>
      </c>
      <c r="Q11" s="30" t="s">
        <v>82</v>
      </c>
      <c r="R11" s="31" t="s">
        <v>65</v>
      </c>
      <c r="S11" s="31" t="s">
        <v>74</v>
      </c>
      <c r="T11" s="38" t="s">
        <v>84</v>
      </c>
      <c r="U11" s="35" t="s">
        <v>85</v>
      </c>
      <c r="V11" s="35" t="s">
        <v>109</v>
      </c>
      <c r="W11" s="39">
        <v>0.0</v>
      </c>
      <c r="X11" s="39">
        <v>0.0</v>
      </c>
      <c r="Y11" s="39">
        <v>178000.0</v>
      </c>
      <c r="Z11" s="39">
        <f t="shared" si="4"/>
        <v>0</v>
      </c>
      <c r="AA11" s="39">
        <f t="shared" si="5"/>
        <v>0</v>
      </c>
      <c r="AB11" s="39">
        <f t="shared" si="6"/>
        <v>0</v>
      </c>
      <c r="AC11" s="39">
        <f t="shared" si="7"/>
        <v>178000</v>
      </c>
      <c r="AD11" s="40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</row>
    <row r="12">
      <c r="A12" s="24">
        <v>2.0</v>
      </c>
      <c r="B12" s="35" t="s">
        <v>102</v>
      </c>
      <c r="C12" s="41" t="s">
        <v>234</v>
      </c>
      <c r="D12" s="41" t="s">
        <v>139</v>
      </c>
      <c r="E12" s="35" t="s">
        <v>44</v>
      </c>
      <c r="F12" s="35" t="s">
        <v>77</v>
      </c>
      <c r="G12" s="41" t="s">
        <v>210</v>
      </c>
      <c r="H12" s="41" t="s">
        <v>210</v>
      </c>
      <c r="I12" s="39">
        <v>2.10474069287E11</v>
      </c>
      <c r="J12" s="32">
        <v>9.079641962E9</v>
      </c>
      <c r="K12" s="31" t="s">
        <v>240</v>
      </c>
      <c r="L12" s="62" t="s">
        <v>241</v>
      </c>
      <c r="M12" s="39">
        <v>215000.0</v>
      </c>
      <c r="N12" s="39">
        <v>215000.0</v>
      </c>
      <c r="O12" s="39">
        <v>193000.0</v>
      </c>
      <c r="P12" s="41">
        <f t="shared" si="3"/>
        <v>22000</v>
      </c>
      <c r="Q12" s="30" t="s">
        <v>82</v>
      </c>
      <c r="R12" s="31" t="s">
        <v>69</v>
      </c>
      <c r="S12" s="31" t="s">
        <v>83</v>
      </c>
      <c r="T12" s="38" t="s">
        <v>84</v>
      </c>
      <c r="U12" s="35" t="s">
        <v>85</v>
      </c>
      <c r="V12" s="35" t="s">
        <v>86</v>
      </c>
      <c r="W12" s="39">
        <v>135000.0</v>
      </c>
      <c r="X12" s="35">
        <v>58000.0</v>
      </c>
      <c r="Y12" s="35">
        <v>22000.0</v>
      </c>
      <c r="Z12" s="39">
        <f t="shared" si="4"/>
        <v>0</v>
      </c>
      <c r="AA12" s="39">
        <f t="shared" si="5"/>
        <v>0</v>
      </c>
      <c r="AB12" s="39">
        <f t="shared" si="6"/>
        <v>0</v>
      </c>
      <c r="AC12" s="39">
        <f t="shared" si="7"/>
        <v>215000</v>
      </c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</row>
    <row r="13">
      <c r="A13" s="24">
        <v>3.0</v>
      </c>
      <c r="B13" s="54" t="s">
        <v>255</v>
      </c>
      <c r="C13" s="41" t="s">
        <v>256</v>
      </c>
      <c r="D13" s="41" t="s">
        <v>258</v>
      </c>
      <c r="E13" s="35" t="s">
        <v>58</v>
      </c>
      <c r="F13" s="35" t="s">
        <v>77</v>
      </c>
      <c r="G13" s="41" t="s">
        <v>135</v>
      </c>
      <c r="H13" s="31" t="s">
        <v>260</v>
      </c>
      <c r="I13" s="39">
        <v>2.10412021477E11</v>
      </c>
      <c r="J13" s="32">
        <v>9.928419414E9</v>
      </c>
      <c r="K13" s="31" t="s">
        <v>262</v>
      </c>
      <c r="L13" s="63" t="s">
        <v>264</v>
      </c>
      <c r="M13" s="39">
        <v>390000.0</v>
      </c>
      <c r="N13" s="35">
        <v>390000.0</v>
      </c>
      <c r="O13" s="39">
        <v>200000.0</v>
      </c>
      <c r="P13" s="41">
        <f t="shared" si="3"/>
        <v>190000</v>
      </c>
      <c r="Q13" s="30" t="s">
        <v>82</v>
      </c>
      <c r="R13" s="31" t="s">
        <v>65</v>
      </c>
      <c r="S13" s="31" t="s">
        <v>83</v>
      </c>
      <c r="T13" s="38" t="s">
        <v>84</v>
      </c>
      <c r="U13" s="35" t="s">
        <v>85</v>
      </c>
      <c r="V13" s="35" t="s">
        <v>125</v>
      </c>
      <c r="W13" s="39">
        <v>140000.0</v>
      </c>
      <c r="X13" s="35">
        <v>60000.0</v>
      </c>
      <c r="Y13" s="35">
        <f>100000+78000</f>
        <v>178000</v>
      </c>
      <c r="Z13" s="39">
        <f t="shared" si="4"/>
        <v>0</v>
      </c>
      <c r="AA13" s="39">
        <f t="shared" si="5"/>
        <v>12000</v>
      </c>
      <c r="AB13" s="39">
        <f t="shared" si="6"/>
        <v>12000</v>
      </c>
      <c r="AC13" s="39">
        <f t="shared" si="7"/>
        <v>378000</v>
      </c>
      <c r="AD13" s="43" t="s">
        <v>265</v>
      </c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</row>
    <row r="14">
      <c r="A14" s="24">
        <v>4.0</v>
      </c>
      <c r="B14" s="35" t="s">
        <v>102</v>
      </c>
      <c r="C14" s="41" t="s">
        <v>273</v>
      </c>
      <c r="D14" s="41" t="s">
        <v>274</v>
      </c>
      <c r="E14" s="35" t="s">
        <v>44</v>
      </c>
      <c r="F14" s="41"/>
      <c r="G14" s="41" t="s">
        <v>275</v>
      </c>
      <c r="H14" s="41" t="s">
        <v>275</v>
      </c>
      <c r="I14" s="39">
        <v>2.10473009614E11</v>
      </c>
      <c r="J14" s="39">
        <v>8.005545213E9</v>
      </c>
      <c r="K14" s="41" t="s">
        <v>276</v>
      </c>
      <c r="L14" s="35" t="s">
        <v>277</v>
      </c>
      <c r="M14" s="39">
        <v>180000.0</v>
      </c>
      <c r="N14" s="50">
        <v>171000.0</v>
      </c>
      <c r="O14" s="39">
        <v>0.0</v>
      </c>
      <c r="P14" s="41">
        <f t="shared" si="3"/>
        <v>171000</v>
      </c>
      <c r="Q14" s="30" t="s">
        <v>82</v>
      </c>
      <c r="R14" s="31" t="s">
        <v>65</v>
      </c>
      <c r="S14" s="31" t="s">
        <v>74</v>
      </c>
      <c r="T14" s="38" t="s">
        <v>84</v>
      </c>
      <c r="U14" s="35" t="s">
        <v>85</v>
      </c>
      <c r="V14" s="35" t="s">
        <v>109</v>
      </c>
      <c r="W14" s="35">
        <v>0.0</v>
      </c>
      <c r="X14" s="35">
        <v>0.0</v>
      </c>
      <c r="Y14" s="39">
        <v>171000.0</v>
      </c>
      <c r="Z14" s="39">
        <f t="shared" si="4"/>
        <v>0</v>
      </c>
      <c r="AA14" s="39">
        <f t="shared" si="5"/>
        <v>0</v>
      </c>
      <c r="AB14" s="39">
        <f t="shared" si="6"/>
        <v>0</v>
      </c>
      <c r="AC14" s="39">
        <f t="shared" si="7"/>
        <v>171000</v>
      </c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</row>
    <row r="15">
      <c r="A15" s="24">
        <v>5.0</v>
      </c>
      <c r="B15" s="35" t="s">
        <v>102</v>
      </c>
      <c r="C15" s="41" t="s">
        <v>286</v>
      </c>
      <c r="D15" s="41" t="s">
        <v>43</v>
      </c>
      <c r="E15" s="35" t="s">
        <v>44</v>
      </c>
      <c r="F15" s="41"/>
      <c r="G15" s="41" t="s">
        <v>114</v>
      </c>
      <c r="H15" s="41" t="s">
        <v>114</v>
      </c>
      <c r="I15" s="39">
        <v>2.11529037288E11</v>
      </c>
      <c r="J15" s="39">
        <v>8.441010572E9</v>
      </c>
      <c r="K15" s="41" t="s">
        <v>287</v>
      </c>
      <c r="L15" s="41" t="s">
        <v>288</v>
      </c>
      <c r="M15" s="39">
        <v>180000.0</v>
      </c>
      <c r="N15" s="39">
        <v>180000.0</v>
      </c>
      <c r="O15" s="39">
        <v>0.0</v>
      </c>
      <c r="P15" s="41">
        <f t="shared" si="3"/>
        <v>180000</v>
      </c>
      <c r="Q15" s="30" t="s">
        <v>82</v>
      </c>
      <c r="R15" s="31" t="s">
        <v>69</v>
      </c>
      <c r="S15" s="31" t="s">
        <v>74</v>
      </c>
      <c r="T15" s="38" t="s">
        <v>84</v>
      </c>
      <c r="U15" s="35" t="s">
        <v>85</v>
      </c>
      <c r="V15" s="35" t="s">
        <v>109</v>
      </c>
      <c r="W15" s="35">
        <v>0.0</v>
      </c>
      <c r="X15" s="35">
        <v>0.0</v>
      </c>
      <c r="Y15" s="39">
        <v>180000.0</v>
      </c>
      <c r="Z15" s="39">
        <f t="shared" si="4"/>
        <v>0</v>
      </c>
      <c r="AA15" s="39">
        <f t="shared" si="5"/>
        <v>0</v>
      </c>
      <c r="AB15" s="39">
        <f t="shared" si="6"/>
        <v>0</v>
      </c>
      <c r="AC15" s="39">
        <f t="shared" si="7"/>
        <v>180000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</row>
    <row r="16">
      <c r="A16" s="24">
        <v>6.0</v>
      </c>
      <c r="B16" s="35" t="s">
        <v>102</v>
      </c>
      <c r="C16" s="41" t="s">
        <v>300</v>
      </c>
      <c r="D16" s="41" t="s">
        <v>104</v>
      </c>
      <c r="E16" s="35" t="s">
        <v>44</v>
      </c>
      <c r="F16" s="41"/>
      <c r="G16" s="41" t="s">
        <v>114</v>
      </c>
      <c r="H16" s="41" t="s">
        <v>114</v>
      </c>
      <c r="I16" s="39">
        <v>2.11529031447E11</v>
      </c>
      <c r="J16" s="39">
        <v>9.829488108E9</v>
      </c>
      <c r="K16" s="41" t="s">
        <v>303</v>
      </c>
      <c r="L16" s="41" t="s">
        <v>304</v>
      </c>
      <c r="M16" s="39">
        <v>250000.0</v>
      </c>
      <c r="N16" s="39">
        <v>250000.0</v>
      </c>
      <c r="O16" s="39">
        <v>0.0</v>
      </c>
      <c r="P16" s="41">
        <f t="shared" si="3"/>
        <v>250000</v>
      </c>
      <c r="Q16" s="30" t="s">
        <v>82</v>
      </c>
      <c r="R16" s="31" t="s">
        <v>69</v>
      </c>
      <c r="S16" s="31" t="s">
        <v>74</v>
      </c>
      <c r="T16" s="38" t="s">
        <v>84</v>
      </c>
      <c r="U16" s="35" t="s">
        <v>85</v>
      </c>
      <c r="V16" s="35" t="s">
        <v>109</v>
      </c>
      <c r="W16" s="35">
        <v>0.0</v>
      </c>
      <c r="X16" s="35">
        <v>0.0</v>
      </c>
      <c r="Y16" s="35">
        <f>240000+10000</f>
        <v>250000</v>
      </c>
      <c r="Z16" s="39">
        <f t="shared" si="4"/>
        <v>0</v>
      </c>
      <c r="AA16" s="39">
        <f t="shared" si="5"/>
        <v>0</v>
      </c>
      <c r="AB16" s="39">
        <f t="shared" si="6"/>
        <v>0</v>
      </c>
      <c r="AC16" s="39">
        <f t="shared" si="7"/>
        <v>250000</v>
      </c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</row>
    <row r="17" ht="17.25" customHeight="1">
      <c r="A17" s="24">
        <v>7.0</v>
      </c>
      <c r="B17" s="38" t="s">
        <v>102</v>
      </c>
      <c r="C17" s="38" t="s">
        <v>315</v>
      </c>
      <c r="D17" s="38" t="s">
        <v>110</v>
      </c>
      <c r="E17" s="38" t="s">
        <v>44</v>
      </c>
      <c r="F17" s="38"/>
      <c r="G17" s="38" t="s">
        <v>210</v>
      </c>
      <c r="H17" s="38" t="s">
        <v>114</v>
      </c>
      <c r="I17" s="38">
        <v>2.1152902503E11</v>
      </c>
      <c r="J17" s="38">
        <v>9.414717688E9</v>
      </c>
      <c r="K17" s="38" t="s">
        <v>317</v>
      </c>
      <c r="L17" s="38" t="s">
        <v>319</v>
      </c>
      <c r="M17" s="38">
        <v>250000.0</v>
      </c>
      <c r="N17" s="38">
        <v>250000.0</v>
      </c>
      <c r="O17" s="38">
        <v>0.0</v>
      </c>
      <c r="P17" s="41">
        <f t="shared" si="3"/>
        <v>250000</v>
      </c>
      <c r="Q17" s="30" t="s">
        <v>82</v>
      </c>
      <c r="R17" s="30" t="s">
        <v>69</v>
      </c>
      <c r="S17" s="30" t="s">
        <v>74</v>
      </c>
      <c r="T17" s="38" t="s">
        <v>84</v>
      </c>
      <c r="U17" s="35" t="s">
        <v>85</v>
      </c>
      <c r="V17" s="35" t="s">
        <v>125</v>
      </c>
      <c r="W17" s="38">
        <v>0.0</v>
      </c>
      <c r="X17" s="38">
        <v>0.0</v>
      </c>
      <c r="Y17" s="38">
        <f>190000+45000+10000</f>
        <v>245000</v>
      </c>
      <c r="Z17" s="39">
        <f t="shared" si="4"/>
        <v>0</v>
      </c>
      <c r="AA17" s="39">
        <f t="shared" si="5"/>
        <v>5000</v>
      </c>
      <c r="AB17" s="39">
        <f t="shared" si="6"/>
        <v>5000</v>
      </c>
      <c r="AC17" s="39">
        <f t="shared" si="7"/>
        <v>245000</v>
      </c>
      <c r="AD17" s="43" t="s">
        <v>323</v>
      </c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</row>
    <row r="18">
      <c r="A18" s="24">
        <v>8.0</v>
      </c>
      <c r="B18" s="35" t="s">
        <v>102</v>
      </c>
      <c r="C18" s="41" t="s">
        <v>331</v>
      </c>
      <c r="D18" s="41" t="s">
        <v>43</v>
      </c>
      <c r="E18" s="35" t="s">
        <v>44</v>
      </c>
      <c r="F18" s="35" t="s">
        <v>77</v>
      </c>
      <c r="G18" s="41" t="s">
        <v>332</v>
      </c>
      <c r="H18" s="41" t="s">
        <v>92</v>
      </c>
      <c r="I18" s="39">
        <v>2.11543011297E11</v>
      </c>
      <c r="J18" s="39">
        <v>9.983887214E9</v>
      </c>
      <c r="K18" s="41" t="s">
        <v>333</v>
      </c>
      <c r="L18" s="41" t="s">
        <v>334</v>
      </c>
      <c r="M18" s="39">
        <v>195000.0</v>
      </c>
      <c r="N18" s="39">
        <v>175000.0</v>
      </c>
      <c r="O18" s="35">
        <v>175000.0</v>
      </c>
      <c r="P18" s="41">
        <f t="shared" si="3"/>
        <v>0</v>
      </c>
      <c r="Q18" s="30" t="s">
        <v>82</v>
      </c>
      <c r="R18" s="31" t="s">
        <v>69</v>
      </c>
      <c r="S18" s="30" t="s">
        <v>83</v>
      </c>
      <c r="T18" s="38" t="s">
        <v>84</v>
      </c>
      <c r="U18" s="35" t="s">
        <v>85</v>
      </c>
      <c r="V18" s="35" t="s">
        <v>86</v>
      </c>
      <c r="W18" s="35">
        <v>122500.0</v>
      </c>
      <c r="X18" s="35">
        <v>52500.0</v>
      </c>
      <c r="Y18" s="35">
        <v>0.0</v>
      </c>
      <c r="Z18" s="39">
        <f t="shared" si="4"/>
        <v>0</v>
      </c>
      <c r="AA18" s="39">
        <f t="shared" si="5"/>
        <v>0</v>
      </c>
      <c r="AB18" s="39">
        <f t="shared" si="6"/>
        <v>0</v>
      </c>
      <c r="AC18" s="39">
        <f t="shared" si="7"/>
        <v>175000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</row>
    <row r="19">
      <c r="A19" s="24">
        <v>9.0</v>
      </c>
      <c r="B19" s="35" t="s">
        <v>197</v>
      </c>
      <c r="C19" s="41" t="s">
        <v>342</v>
      </c>
      <c r="D19" s="41" t="s">
        <v>43</v>
      </c>
      <c r="E19" s="35" t="s">
        <v>44</v>
      </c>
      <c r="F19" s="41"/>
      <c r="G19" s="41" t="s">
        <v>344</v>
      </c>
      <c r="H19" s="41" t="s">
        <v>92</v>
      </c>
      <c r="I19" s="39">
        <v>2.11543033384E11</v>
      </c>
      <c r="J19" s="39">
        <v>6.367129868E9</v>
      </c>
      <c r="K19" s="41" t="s">
        <v>345</v>
      </c>
      <c r="L19" s="35" t="s">
        <v>346</v>
      </c>
      <c r="M19" s="50">
        <v>180000.0</v>
      </c>
      <c r="N19" s="38">
        <v>180000.0</v>
      </c>
      <c r="O19" s="38">
        <v>0.0</v>
      </c>
      <c r="P19" s="41">
        <f t="shared" si="3"/>
        <v>180000</v>
      </c>
      <c r="Q19" s="30" t="s">
        <v>82</v>
      </c>
      <c r="R19" s="31" t="s">
        <v>69</v>
      </c>
      <c r="S19" s="30" t="s">
        <v>74</v>
      </c>
      <c r="T19" s="38" t="s">
        <v>84</v>
      </c>
      <c r="U19" s="35" t="s">
        <v>207</v>
      </c>
      <c r="V19" s="35" t="s">
        <v>109</v>
      </c>
      <c r="W19" s="38">
        <v>0.0</v>
      </c>
      <c r="X19" s="38">
        <v>0.0</v>
      </c>
      <c r="Y19" s="38">
        <v>180000.0</v>
      </c>
      <c r="Z19" s="39">
        <f t="shared" si="4"/>
        <v>0</v>
      </c>
      <c r="AA19" s="39">
        <f t="shared" si="5"/>
        <v>0</v>
      </c>
      <c r="AB19" s="39">
        <f t="shared" si="6"/>
        <v>0</v>
      </c>
      <c r="AC19" s="39">
        <f t="shared" si="7"/>
        <v>180000</v>
      </c>
      <c r="AD19" s="44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</row>
    <row r="20">
      <c r="A20" s="24">
        <v>10.0</v>
      </c>
      <c r="B20" s="47" t="s">
        <v>354</v>
      </c>
      <c r="C20" s="38" t="s">
        <v>355</v>
      </c>
      <c r="D20" s="38" t="s">
        <v>104</v>
      </c>
      <c r="E20" s="38" t="s">
        <v>58</v>
      </c>
      <c r="F20" s="38" t="s">
        <v>77</v>
      </c>
      <c r="G20" s="38" t="s">
        <v>46</v>
      </c>
      <c r="H20" s="38" t="s">
        <v>46</v>
      </c>
      <c r="I20" s="65">
        <v>2.10454061878E11</v>
      </c>
      <c r="J20" s="65">
        <v>9.413335394E9</v>
      </c>
      <c r="K20" s="80" t="s">
        <v>359</v>
      </c>
      <c r="L20" s="38" t="s">
        <v>361</v>
      </c>
      <c r="M20" s="38">
        <v>225000.0</v>
      </c>
      <c r="N20" s="38">
        <v>250000.0</v>
      </c>
      <c r="O20" s="38">
        <v>200000.0</v>
      </c>
      <c r="P20" s="41">
        <f t="shared" si="3"/>
        <v>50000</v>
      </c>
      <c r="Q20" s="30" t="s">
        <v>82</v>
      </c>
      <c r="R20" s="30" t="s">
        <v>69</v>
      </c>
      <c r="S20" s="30" t="s">
        <v>83</v>
      </c>
      <c r="T20" s="38" t="s">
        <v>84</v>
      </c>
      <c r="U20" s="35" t="s">
        <v>175</v>
      </c>
      <c r="V20" s="35" t="s">
        <v>176</v>
      </c>
      <c r="W20" s="38">
        <v>140000.0</v>
      </c>
      <c r="X20" s="38">
        <v>0.0</v>
      </c>
      <c r="Y20" s="38">
        <v>0.0</v>
      </c>
      <c r="Z20" s="39">
        <f t="shared" si="4"/>
        <v>60000</v>
      </c>
      <c r="AA20" s="39">
        <f t="shared" si="5"/>
        <v>50000</v>
      </c>
      <c r="AB20" s="39">
        <f t="shared" si="6"/>
        <v>110000</v>
      </c>
      <c r="AC20" s="39">
        <f t="shared" si="7"/>
        <v>140000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</row>
    <row r="21">
      <c r="A21" s="24">
        <v>11.0</v>
      </c>
      <c r="B21" s="38" t="s">
        <v>102</v>
      </c>
      <c r="C21" s="38" t="s">
        <v>373</v>
      </c>
      <c r="D21" s="38" t="s">
        <v>104</v>
      </c>
      <c r="E21" s="38" t="s">
        <v>58</v>
      </c>
      <c r="F21" s="38" t="s">
        <v>77</v>
      </c>
      <c r="G21" s="38" t="s">
        <v>46</v>
      </c>
      <c r="H21" s="38" t="s">
        <v>46</v>
      </c>
      <c r="I21" s="38">
        <v>2.10454061879E11</v>
      </c>
      <c r="J21" s="38">
        <v>9.414072658E9</v>
      </c>
      <c r="K21" s="38" t="s">
        <v>376</v>
      </c>
      <c r="L21" s="38" t="s">
        <v>361</v>
      </c>
      <c r="M21" s="38">
        <v>225000.0</v>
      </c>
      <c r="N21" s="38">
        <v>250000.0</v>
      </c>
      <c r="O21" s="38">
        <v>200000.0</v>
      </c>
      <c r="P21" s="41">
        <f t="shared" si="3"/>
        <v>50000</v>
      </c>
      <c r="Q21" s="30" t="s">
        <v>82</v>
      </c>
      <c r="R21" s="31" t="s">
        <v>69</v>
      </c>
      <c r="S21" s="30" t="s">
        <v>83</v>
      </c>
      <c r="T21" s="38" t="s">
        <v>84</v>
      </c>
      <c r="U21" s="35" t="s">
        <v>85</v>
      </c>
      <c r="V21" s="35" t="s">
        <v>125</v>
      </c>
      <c r="W21" s="38">
        <v>140000.0</v>
      </c>
      <c r="X21" s="38">
        <v>60000.0</v>
      </c>
      <c r="Y21" s="38">
        <v>60000.0</v>
      </c>
      <c r="Z21" s="39">
        <f t="shared" si="4"/>
        <v>0</v>
      </c>
      <c r="AA21" s="39">
        <f t="shared" si="5"/>
        <v>-10000</v>
      </c>
      <c r="AB21" s="39">
        <f t="shared" si="6"/>
        <v>-10000</v>
      </c>
      <c r="AC21" s="39">
        <f t="shared" si="7"/>
        <v>260000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</row>
    <row r="22">
      <c r="A22" s="24">
        <v>12.0</v>
      </c>
      <c r="B22" s="38" t="s">
        <v>385</v>
      </c>
      <c r="C22" s="38" t="s">
        <v>386</v>
      </c>
      <c r="D22" s="38" t="s">
        <v>104</v>
      </c>
      <c r="E22" s="38" t="s">
        <v>44</v>
      </c>
      <c r="F22" s="38" t="s">
        <v>325</v>
      </c>
      <c r="G22" s="38" t="s">
        <v>391</v>
      </c>
      <c r="H22" s="38" t="s">
        <v>164</v>
      </c>
      <c r="I22" s="38">
        <v>2.11544017315E11</v>
      </c>
      <c r="J22" s="38">
        <v>9.929814037E9</v>
      </c>
      <c r="K22" s="38" t="s">
        <v>393</v>
      </c>
      <c r="L22" s="38" t="s">
        <v>394</v>
      </c>
      <c r="M22" s="38">
        <v>225000.0</v>
      </c>
      <c r="N22" s="38">
        <v>280000.0</v>
      </c>
      <c r="O22" s="38">
        <v>200000.0</v>
      </c>
      <c r="P22" s="41">
        <f t="shared" si="3"/>
        <v>80000</v>
      </c>
      <c r="Q22" s="30" t="s">
        <v>82</v>
      </c>
      <c r="R22" s="30" t="s">
        <v>69</v>
      </c>
      <c r="S22" s="30" t="s">
        <v>83</v>
      </c>
      <c r="T22" s="38" t="s">
        <v>84</v>
      </c>
      <c r="U22" s="35" t="s">
        <v>207</v>
      </c>
      <c r="V22" s="35" t="s">
        <v>86</v>
      </c>
      <c r="W22" s="38">
        <v>120000.0</v>
      </c>
      <c r="X22" s="38">
        <v>80000.0</v>
      </c>
      <c r="Y22" s="38">
        <v>80000.0</v>
      </c>
      <c r="Z22" s="39">
        <f t="shared" si="4"/>
        <v>0</v>
      </c>
      <c r="AA22" s="39">
        <f t="shared" si="5"/>
        <v>0</v>
      </c>
      <c r="AB22" s="39">
        <f t="shared" si="6"/>
        <v>0</v>
      </c>
      <c r="AC22" s="39">
        <f t="shared" si="7"/>
        <v>280000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</row>
    <row r="23">
      <c r="A23" s="24">
        <v>13.0</v>
      </c>
      <c r="B23" s="47" t="s">
        <v>405</v>
      </c>
      <c r="C23" s="38" t="s">
        <v>407</v>
      </c>
      <c r="D23" s="38" t="s">
        <v>226</v>
      </c>
      <c r="E23" s="38" t="s">
        <v>58</v>
      </c>
      <c r="F23" s="38"/>
      <c r="G23" s="38" t="s">
        <v>410</v>
      </c>
      <c r="H23" s="38" t="s">
        <v>411</v>
      </c>
      <c r="I23" s="38">
        <v>2.11482008587E11</v>
      </c>
      <c r="J23" s="38">
        <v>8.114487781E9</v>
      </c>
      <c r="K23" s="38" t="s">
        <v>413</v>
      </c>
      <c r="L23" s="92" t="s">
        <v>414</v>
      </c>
      <c r="M23" s="38">
        <v>310000.0</v>
      </c>
      <c r="N23" s="38">
        <v>310000.0</v>
      </c>
      <c r="O23" s="38">
        <v>0.0</v>
      </c>
      <c r="P23" s="41">
        <f t="shared" si="3"/>
        <v>310000</v>
      </c>
      <c r="Q23" s="30" t="s">
        <v>82</v>
      </c>
      <c r="R23" s="31" t="s">
        <v>69</v>
      </c>
      <c r="S23" s="30" t="s">
        <v>74</v>
      </c>
      <c r="T23" s="38" t="s">
        <v>84</v>
      </c>
      <c r="U23" s="35" t="s">
        <v>85</v>
      </c>
      <c r="V23" s="35" t="s">
        <v>125</v>
      </c>
      <c r="W23" s="38">
        <v>0.0</v>
      </c>
      <c r="X23" s="38">
        <v>0.0</v>
      </c>
      <c r="Y23" s="38">
        <f>21000+100000+75000+78000+30000</f>
        <v>304000</v>
      </c>
      <c r="Z23" s="39">
        <f t="shared" si="4"/>
        <v>0</v>
      </c>
      <c r="AA23" s="39">
        <f t="shared" si="5"/>
        <v>6000</v>
      </c>
      <c r="AB23" s="39">
        <f t="shared" si="6"/>
        <v>6000</v>
      </c>
      <c r="AC23" s="39">
        <f t="shared" si="7"/>
        <v>304000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</row>
    <row r="24">
      <c r="A24" s="24">
        <v>14.0</v>
      </c>
      <c r="B24" s="35" t="s">
        <v>427</v>
      </c>
      <c r="C24" s="41" t="s">
        <v>428</v>
      </c>
      <c r="D24" s="41" t="s">
        <v>43</v>
      </c>
      <c r="E24" s="35" t="s">
        <v>44</v>
      </c>
      <c r="F24" s="38"/>
      <c r="G24" s="38" t="s">
        <v>210</v>
      </c>
      <c r="H24" s="38" t="s">
        <v>135</v>
      </c>
      <c r="I24" s="38">
        <v>2.10474051333E11</v>
      </c>
      <c r="J24" s="38">
        <v>9.587335297E9</v>
      </c>
      <c r="K24" s="38" t="s">
        <v>434</v>
      </c>
      <c r="L24" s="38" t="s">
        <v>220</v>
      </c>
      <c r="M24" s="35">
        <v>180000.0</v>
      </c>
      <c r="N24" s="35">
        <v>180000.0</v>
      </c>
      <c r="O24" s="35">
        <v>0.0</v>
      </c>
      <c r="P24" s="41">
        <f t="shared" si="3"/>
        <v>180000</v>
      </c>
      <c r="Q24" s="30" t="s">
        <v>82</v>
      </c>
      <c r="R24" s="31" t="s">
        <v>69</v>
      </c>
      <c r="S24" s="30" t="s">
        <v>74</v>
      </c>
      <c r="T24" s="38" t="s">
        <v>84</v>
      </c>
      <c r="U24" s="35" t="s">
        <v>85</v>
      </c>
      <c r="V24" s="35" t="s">
        <v>125</v>
      </c>
      <c r="W24" s="35">
        <v>0.0</v>
      </c>
      <c r="X24" s="35">
        <v>0.0</v>
      </c>
      <c r="Y24" s="50">
        <f>50000+50000+78000</f>
        <v>178000</v>
      </c>
      <c r="Z24" s="39">
        <f t="shared" si="4"/>
        <v>0</v>
      </c>
      <c r="AA24" s="39">
        <f t="shared" si="5"/>
        <v>2000</v>
      </c>
      <c r="AB24" s="39">
        <f t="shared" si="6"/>
        <v>2000</v>
      </c>
      <c r="AC24" s="39">
        <f t="shared" si="7"/>
        <v>178000</v>
      </c>
      <c r="AD24" s="24" t="s">
        <v>444</v>
      </c>
      <c r="AE24" s="37"/>
      <c r="AF24" s="37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</row>
    <row r="25">
      <c r="A25" s="24">
        <v>15.0</v>
      </c>
      <c r="B25" s="35" t="s">
        <v>461</v>
      </c>
      <c r="C25" s="41" t="s">
        <v>462</v>
      </c>
      <c r="D25" s="41" t="s">
        <v>43</v>
      </c>
      <c r="E25" s="35" t="s">
        <v>44</v>
      </c>
      <c r="F25" s="35" t="s">
        <v>162</v>
      </c>
      <c r="G25" s="41" t="s">
        <v>164</v>
      </c>
      <c r="H25" s="41" t="s">
        <v>164</v>
      </c>
      <c r="I25" s="32">
        <v>2.11544020862E11</v>
      </c>
      <c r="J25" s="32">
        <v>9.667029477E9</v>
      </c>
      <c r="K25" s="34" t="s">
        <v>465</v>
      </c>
      <c r="L25" s="38" t="s">
        <v>471</v>
      </c>
      <c r="M25" s="39">
        <v>200000.0</v>
      </c>
      <c r="N25" s="39">
        <v>180000.0</v>
      </c>
      <c r="O25" s="39">
        <v>180000.0</v>
      </c>
      <c r="P25" s="41">
        <f t="shared" si="3"/>
        <v>0</v>
      </c>
      <c r="Q25" s="30" t="s">
        <v>82</v>
      </c>
      <c r="R25" s="31" t="s">
        <v>65</v>
      </c>
      <c r="S25" s="30" t="s">
        <v>83</v>
      </c>
      <c r="T25" s="38" t="s">
        <v>84</v>
      </c>
      <c r="U25" s="35" t="s">
        <v>85</v>
      </c>
      <c r="V25" s="35" t="s">
        <v>86</v>
      </c>
      <c r="W25" s="35">
        <v>180000.0</v>
      </c>
      <c r="X25" s="35">
        <v>0.0</v>
      </c>
      <c r="Y25" s="35">
        <v>0.0</v>
      </c>
      <c r="Z25" s="39">
        <f t="shared" si="4"/>
        <v>0</v>
      </c>
      <c r="AA25" s="39">
        <f t="shared" si="5"/>
        <v>0</v>
      </c>
      <c r="AB25" s="39">
        <f t="shared" si="6"/>
        <v>0</v>
      </c>
      <c r="AC25" s="39">
        <f t="shared" si="7"/>
        <v>180000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</row>
    <row r="26">
      <c r="A26" s="24">
        <v>16.0</v>
      </c>
      <c r="B26" s="35" t="s">
        <v>476</v>
      </c>
      <c r="C26" s="41" t="s">
        <v>478</v>
      </c>
      <c r="D26" s="41" t="s">
        <v>139</v>
      </c>
      <c r="E26" s="35" t="s">
        <v>44</v>
      </c>
      <c r="F26" s="35" t="s">
        <v>480</v>
      </c>
      <c r="G26" s="41" t="s">
        <v>481</v>
      </c>
      <c r="H26" s="41" t="s">
        <v>215</v>
      </c>
      <c r="I26" s="32">
        <v>2.10416041093E11</v>
      </c>
      <c r="J26" s="39">
        <v>9.929294507E9</v>
      </c>
      <c r="K26" s="34" t="s">
        <v>482</v>
      </c>
      <c r="L26" s="31" t="s">
        <v>483</v>
      </c>
      <c r="M26" s="39">
        <v>225000.0</v>
      </c>
      <c r="N26" s="39">
        <v>225000.0</v>
      </c>
      <c r="O26" s="39">
        <v>200000.0</v>
      </c>
      <c r="P26" s="41">
        <f t="shared" si="3"/>
        <v>25000</v>
      </c>
      <c r="Q26" s="30" t="s">
        <v>82</v>
      </c>
      <c r="R26" s="31" t="s">
        <v>69</v>
      </c>
      <c r="S26" s="30" t="s">
        <v>83</v>
      </c>
      <c r="T26" s="38" t="s">
        <v>84</v>
      </c>
      <c r="U26" s="35" t="s">
        <v>207</v>
      </c>
      <c r="V26" s="35" t="s">
        <v>176</v>
      </c>
      <c r="W26" s="35">
        <v>165000.0</v>
      </c>
      <c r="X26" s="35">
        <v>0.0</v>
      </c>
      <c r="Y26" s="35">
        <v>0.0</v>
      </c>
      <c r="Z26" s="39">
        <f t="shared" si="4"/>
        <v>35000</v>
      </c>
      <c r="AA26" s="39">
        <f t="shared" si="5"/>
        <v>25000</v>
      </c>
      <c r="AB26" s="39">
        <f t="shared" si="6"/>
        <v>60000</v>
      </c>
      <c r="AC26" s="39">
        <f t="shared" si="7"/>
        <v>165000</v>
      </c>
      <c r="AD26" s="43" t="s">
        <v>453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</row>
    <row r="27">
      <c r="A27" s="24">
        <v>17.0</v>
      </c>
      <c r="B27" s="35" t="s">
        <v>490</v>
      </c>
      <c r="C27" s="41" t="s">
        <v>491</v>
      </c>
      <c r="D27" s="41" t="s">
        <v>43</v>
      </c>
      <c r="E27" s="35" t="s">
        <v>44</v>
      </c>
      <c r="F27" s="35" t="s">
        <v>77</v>
      </c>
      <c r="G27" s="41" t="s">
        <v>134</v>
      </c>
      <c r="H27" s="41" t="s">
        <v>114</v>
      </c>
      <c r="I27" s="39">
        <v>2.1152900113E11</v>
      </c>
      <c r="J27" s="32">
        <v>9.314001794E9</v>
      </c>
      <c r="K27" s="31" t="s">
        <v>494</v>
      </c>
      <c r="L27" s="35" t="s">
        <v>495</v>
      </c>
      <c r="M27" s="39">
        <v>200000.0</v>
      </c>
      <c r="N27" s="39">
        <v>180000.0</v>
      </c>
      <c r="O27" s="35">
        <v>180000.0</v>
      </c>
      <c r="P27" s="41">
        <f t="shared" si="3"/>
        <v>0</v>
      </c>
      <c r="Q27" s="30" t="s">
        <v>82</v>
      </c>
      <c r="R27" s="31" t="s">
        <v>65</v>
      </c>
      <c r="S27" s="30" t="s">
        <v>83</v>
      </c>
      <c r="T27" s="38" t="s">
        <v>84</v>
      </c>
      <c r="U27" s="35" t="s">
        <v>278</v>
      </c>
      <c r="V27" s="35" t="s">
        <v>176</v>
      </c>
      <c r="W27" s="35">
        <v>126000.0</v>
      </c>
      <c r="X27" s="35">
        <v>0.0</v>
      </c>
      <c r="Y27" s="35">
        <v>0.0</v>
      </c>
      <c r="Z27" s="39">
        <f t="shared" si="4"/>
        <v>54000</v>
      </c>
      <c r="AA27" s="39">
        <f t="shared" si="5"/>
        <v>0</v>
      </c>
      <c r="AB27" s="39">
        <f t="shared" si="6"/>
        <v>54000</v>
      </c>
      <c r="AC27" s="39">
        <f t="shared" si="7"/>
        <v>126000</v>
      </c>
      <c r="AD27" s="40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</row>
    <row r="28">
      <c r="A28" s="24">
        <v>18.0</v>
      </c>
      <c r="B28" s="38" t="s">
        <v>385</v>
      </c>
      <c r="C28" s="38" t="s">
        <v>502</v>
      </c>
      <c r="D28" s="38" t="s">
        <v>132</v>
      </c>
      <c r="E28" s="38" t="s">
        <v>156</v>
      </c>
      <c r="F28" s="42"/>
      <c r="G28" s="38" t="s">
        <v>503</v>
      </c>
      <c r="H28" s="38" t="s">
        <v>92</v>
      </c>
      <c r="I28" s="38">
        <v>2.11543010351E11</v>
      </c>
      <c r="J28" s="38">
        <v>9.799211493E9</v>
      </c>
      <c r="K28" s="38" t="s">
        <v>504</v>
      </c>
      <c r="L28" s="38" t="s">
        <v>505</v>
      </c>
      <c r="M28" s="38">
        <v>175000.0</v>
      </c>
      <c r="N28" s="38">
        <v>175000.0</v>
      </c>
      <c r="O28" s="38">
        <v>0.0</v>
      </c>
      <c r="P28" s="41">
        <f t="shared" si="3"/>
        <v>175000</v>
      </c>
      <c r="Q28" s="30" t="s">
        <v>82</v>
      </c>
      <c r="R28" s="30" t="s">
        <v>65</v>
      </c>
      <c r="S28" s="30" t="s">
        <v>74</v>
      </c>
      <c r="T28" s="38" t="s">
        <v>84</v>
      </c>
      <c r="U28" s="35" t="s">
        <v>278</v>
      </c>
      <c r="V28" s="35" t="s">
        <v>125</v>
      </c>
      <c r="W28" s="38">
        <v>0.0</v>
      </c>
      <c r="X28" s="38">
        <v>0.0</v>
      </c>
      <c r="Y28" s="38">
        <v>25000.0</v>
      </c>
      <c r="Z28" s="39">
        <f t="shared" si="4"/>
        <v>0</v>
      </c>
      <c r="AA28" s="39">
        <f t="shared" si="5"/>
        <v>150000</v>
      </c>
      <c r="AB28" s="39">
        <f t="shared" si="6"/>
        <v>150000</v>
      </c>
      <c r="AC28" s="39">
        <f t="shared" si="7"/>
        <v>25000</v>
      </c>
      <c r="AD28" s="48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</row>
    <row r="29">
      <c r="A29" s="24">
        <v>19.0</v>
      </c>
      <c r="B29" s="38" t="s">
        <v>385</v>
      </c>
      <c r="C29" s="38" t="s">
        <v>185</v>
      </c>
      <c r="D29" s="38" t="s">
        <v>43</v>
      </c>
      <c r="E29" s="38" t="s">
        <v>44</v>
      </c>
      <c r="F29" s="38" t="s">
        <v>77</v>
      </c>
      <c r="G29" s="38" t="s">
        <v>100</v>
      </c>
      <c r="H29" s="38" t="s">
        <v>92</v>
      </c>
      <c r="I29" s="38">
        <v>2.11543030612E11</v>
      </c>
      <c r="J29" s="38">
        <v>8.769332218E9</v>
      </c>
      <c r="K29" s="38" t="s">
        <v>515</v>
      </c>
      <c r="L29" s="67" t="s">
        <v>517</v>
      </c>
      <c r="M29" s="38">
        <v>175000.0</v>
      </c>
      <c r="N29" s="38">
        <v>175000.0</v>
      </c>
      <c r="O29" s="38">
        <v>0.0</v>
      </c>
      <c r="P29" s="41">
        <f t="shared" si="3"/>
        <v>175000</v>
      </c>
      <c r="Q29" s="30" t="s">
        <v>82</v>
      </c>
      <c r="R29" s="30" t="s">
        <v>65</v>
      </c>
      <c r="S29" s="30" t="s">
        <v>74</v>
      </c>
      <c r="T29" s="38" t="s">
        <v>84</v>
      </c>
      <c r="U29" s="35" t="s">
        <v>278</v>
      </c>
      <c r="V29" s="35" t="s">
        <v>125</v>
      </c>
      <c r="W29" s="38">
        <v>0.0</v>
      </c>
      <c r="X29" s="38">
        <v>0.0</v>
      </c>
      <c r="Y29" s="38">
        <f>100000+50000</f>
        <v>150000</v>
      </c>
      <c r="Z29" s="39">
        <f t="shared" si="4"/>
        <v>0</v>
      </c>
      <c r="AA29" s="39">
        <f t="shared" si="5"/>
        <v>25000</v>
      </c>
      <c r="AB29" s="39">
        <f t="shared" si="6"/>
        <v>25000</v>
      </c>
      <c r="AC29" s="39">
        <f t="shared" si="7"/>
        <v>150000</v>
      </c>
      <c r="AD29" s="48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</row>
    <row r="30">
      <c r="A30" s="24">
        <v>20.0</v>
      </c>
      <c r="B30" s="38" t="s">
        <v>235</v>
      </c>
      <c r="C30" s="38" t="s">
        <v>524</v>
      </c>
      <c r="D30" s="38" t="s">
        <v>132</v>
      </c>
      <c r="E30" s="38" t="s">
        <v>156</v>
      </c>
      <c r="F30" s="42"/>
      <c r="G30" s="38" t="s">
        <v>525</v>
      </c>
      <c r="H30" s="38" t="s">
        <v>526</v>
      </c>
      <c r="I30" s="38">
        <v>2.11584071911E11</v>
      </c>
      <c r="J30" s="38">
        <v>9.244122178E9</v>
      </c>
      <c r="K30" s="38" t="s">
        <v>527</v>
      </c>
      <c r="L30" s="38" t="s">
        <v>528</v>
      </c>
      <c r="M30" s="38">
        <v>175000.0</v>
      </c>
      <c r="N30" s="38">
        <v>175000.0</v>
      </c>
      <c r="O30" s="38">
        <v>0.0</v>
      </c>
      <c r="P30" s="41">
        <f t="shared" si="3"/>
        <v>175000</v>
      </c>
      <c r="Q30" s="30" t="s">
        <v>82</v>
      </c>
      <c r="R30" s="31" t="s">
        <v>69</v>
      </c>
      <c r="S30" s="30" t="s">
        <v>74</v>
      </c>
      <c r="T30" s="38" t="s">
        <v>84</v>
      </c>
      <c r="U30" s="35" t="s">
        <v>175</v>
      </c>
      <c r="V30" s="35" t="s">
        <v>125</v>
      </c>
      <c r="W30" s="38">
        <v>0.0</v>
      </c>
      <c r="X30" s="38">
        <v>0.0</v>
      </c>
      <c r="Y30" s="38">
        <f>100000+75000</f>
        <v>175000</v>
      </c>
      <c r="Z30" s="39">
        <f t="shared" si="4"/>
        <v>0</v>
      </c>
      <c r="AA30" s="39">
        <f t="shared" si="5"/>
        <v>0</v>
      </c>
      <c r="AB30" s="39">
        <f t="shared" si="6"/>
        <v>0</v>
      </c>
      <c r="AC30" s="39">
        <f t="shared" si="7"/>
        <v>175000</v>
      </c>
      <c r="AD30" s="101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</row>
    <row r="31">
      <c r="A31" s="24">
        <v>21.0</v>
      </c>
      <c r="B31" s="35" t="s">
        <v>235</v>
      </c>
      <c r="C31" s="41" t="s">
        <v>529</v>
      </c>
      <c r="D31" s="41" t="s">
        <v>104</v>
      </c>
      <c r="E31" s="35" t="s">
        <v>44</v>
      </c>
      <c r="F31" s="35" t="s">
        <v>325</v>
      </c>
      <c r="G31" s="41" t="s">
        <v>530</v>
      </c>
      <c r="H31" s="41" t="s">
        <v>531</v>
      </c>
      <c r="I31" s="39">
        <v>2.11521017893E11</v>
      </c>
      <c r="J31" s="39">
        <v>8.233515414E9</v>
      </c>
      <c r="K31" s="31" t="s">
        <v>532</v>
      </c>
      <c r="L31" s="41" t="s">
        <v>533</v>
      </c>
      <c r="M31" s="39">
        <v>225000.0</v>
      </c>
      <c r="N31" s="39">
        <v>240000.0</v>
      </c>
      <c r="O31" s="35">
        <v>200000.0</v>
      </c>
      <c r="P31" s="41">
        <f t="shared" si="3"/>
        <v>40000</v>
      </c>
      <c r="Q31" s="30" t="s">
        <v>82</v>
      </c>
      <c r="R31" s="31" t="s">
        <v>65</v>
      </c>
      <c r="S31" s="30" t="s">
        <v>83</v>
      </c>
      <c r="T31" s="38" t="s">
        <v>84</v>
      </c>
      <c r="U31" s="35" t="s">
        <v>175</v>
      </c>
      <c r="V31" s="35" t="s">
        <v>176</v>
      </c>
      <c r="W31" s="35">
        <v>132000.0</v>
      </c>
      <c r="X31" s="35">
        <v>0.0</v>
      </c>
      <c r="Y31" s="35">
        <v>25000.0</v>
      </c>
      <c r="Z31" s="39">
        <f t="shared" si="4"/>
        <v>68000</v>
      </c>
      <c r="AA31" s="39">
        <f t="shared" si="5"/>
        <v>15000</v>
      </c>
      <c r="AB31" s="39">
        <f t="shared" si="6"/>
        <v>83000</v>
      </c>
      <c r="AC31" s="39">
        <f t="shared" si="7"/>
        <v>157000</v>
      </c>
      <c r="AD31" s="43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</row>
    <row r="32">
      <c r="A32" s="24">
        <v>22.0</v>
      </c>
      <c r="B32" s="35" t="s">
        <v>235</v>
      </c>
      <c r="C32" s="35" t="s">
        <v>534</v>
      </c>
      <c r="D32" s="35" t="s">
        <v>535</v>
      </c>
      <c r="E32" s="35" t="s">
        <v>58</v>
      </c>
      <c r="F32" s="35" t="s">
        <v>77</v>
      </c>
      <c r="G32" s="35" t="s">
        <v>210</v>
      </c>
      <c r="H32" s="35" t="s">
        <v>135</v>
      </c>
      <c r="I32" s="36">
        <v>2.10474001512E11</v>
      </c>
      <c r="J32" s="50">
        <v>9.829083182E9</v>
      </c>
      <c r="K32" s="102" t="s">
        <v>536</v>
      </c>
      <c r="L32" s="35" t="s">
        <v>537</v>
      </c>
      <c r="M32" s="35">
        <v>225000.0</v>
      </c>
      <c r="N32" s="50">
        <v>400000.0</v>
      </c>
      <c r="O32" s="35">
        <v>200000.0</v>
      </c>
      <c r="P32" s="41">
        <f t="shared" si="3"/>
        <v>200000</v>
      </c>
      <c r="Q32" s="30" t="s">
        <v>82</v>
      </c>
      <c r="R32" s="30" t="s">
        <v>69</v>
      </c>
      <c r="S32" s="30" t="s">
        <v>83</v>
      </c>
      <c r="T32" s="38" t="s">
        <v>84</v>
      </c>
      <c r="U32" s="35" t="s">
        <v>175</v>
      </c>
      <c r="V32" s="35" t="s">
        <v>176</v>
      </c>
      <c r="W32" s="50">
        <v>140000.0</v>
      </c>
      <c r="X32" s="35">
        <v>0.0</v>
      </c>
      <c r="Y32" s="35">
        <v>100000.0</v>
      </c>
      <c r="Z32" s="39">
        <f t="shared" si="4"/>
        <v>60000</v>
      </c>
      <c r="AA32" s="39">
        <f t="shared" si="5"/>
        <v>100000</v>
      </c>
      <c r="AB32" s="39">
        <f t="shared" si="6"/>
        <v>160000</v>
      </c>
      <c r="AC32" s="39">
        <f t="shared" si="7"/>
        <v>240000</v>
      </c>
      <c r="AD32" s="40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</row>
    <row r="33">
      <c r="A33" s="24">
        <v>23.0</v>
      </c>
      <c r="B33" s="38" t="s">
        <v>235</v>
      </c>
      <c r="C33" s="38" t="s">
        <v>538</v>
      </c>
      <c r="D33" s="38" t="s">
        <v>104</v>
      </c>
      <c r="E33" s="38" t="s">
        <v>44</v>
      </c>
      <c r="F33" s="38" t="s">
        <v>77</v>
      </c>
      <c r="G33" s="38" t="s">
        <v>135</v>
      </c>
      <c r="H33" s="38" t="s">
        <v>135</v>
      </c>
      <c r="I33" s="38">
        <v>2.10474076481E11</v>
      </c>
      <c r="J33" s="38">
        <v>9.001108083E9</v>
      </c>
      <c r="K33" s="38" t="s">
        <v>539</v>
      </c>
      <c r="L33" s="38" t="s">
        <v>540</v>
      </c>
      <c r="M33" s="38">
        <v>225000.0</v>
      </c>
      <c r="N33" s="38">
        <v>240000.0</v>
      </c>
      <c r="O33" s="38">
        <v>200000.0</v>
      </c>
      <c r="P33" s="41">
        <f t="shared" si="3"/>
        <v>40000</v>
      </c>
      <c r="Q33" s="30" t="s">
        <v>82</v>
      </c>
      <c r="R33" s="31" t="s">
        <v>69</v>
      </c>
      <c r="S33" s="30" t="s">
        <v>83</v>
      </c>
      <c r="T33" s="38" t="s">
        <v>84</v>
      </c>
      <c r="U33" s="35" t="s">
        <v>175</v>
      </c>
      <c r="V33" s="35" t="s">
        <v>176</v>
      </c>
      <c r="W33" s="38">
        <v>140000.0</v>
      </c>
      <c r="X33" s="42"/>
      <c r="Y33" s="38">
        <v>20000.0</v>
      </c>
      <c r="Z33" s="39">
        <f t="shared" si="4"/>
        <v>60000</v>
      </c>
      <c r="AA33" s="39">
        <f t="shared" si="5"/>
        <v>20000</v>
      </c>
      <c r="AB33" s="39">
        <f t="shared" si="6"/>
        <v>80000</v>
      </c>
      <c r="AC33" s="39">
        <f t="shared" si="7"/>
        <v>160000</v>
      </c>
      <c r="AD33" s="43" t="s">
        <v>541</v>
      </c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</row>
    <row r="34">
      <c r="A34" s="24">
        <v>24.0</v>
      </c>
      <c r="B34" s="103" t="s">
        <v>542</v>
      </c>
      <c r="C34" s="104" t="s">
        <v>543</v>
      </c>
      <c r="D34" s="104" t="s">
        <v>43</v>
      </c>
      <c r="E34" s="103" t="s">
        <v>44</v>
      </c>
      <c r="F34" s="104"/>
      <c r="G34" s="104" t="s">
        <v>544</v>
      </c>
      <c r="H34" s="104" t="s">
        <v>135</v>
      </c>
      <c r="I34" s="105">
        <v>2.10474035805E11</v>
      </c>
      <c r="J34" s="106">
        <v>8.005634915E9</v>
      </c>
      <c r="K34" s="107" t="s">
        <v>545</v>
      </c>
      <c r="L34" s="108" t="s">
        <v>546</v>
      </c>
      <c r="M34" s="105">
        <v>178000.0</v>
      </c>
      <c r="N34" s="105">
        <v>178000.0</v>
      </c>
      <c r="O34" s="105">
        <v>0.0</v>
      </c>
      <c r="P34" s="104">
        <f t="shared" si="3"/>
        <v>178000</v>
      </c>
      <c r="Q34" s="107" t="s">
        <v>28</v>
      </c>
      <c r="R34" s="107" t="s">
        <v>65</v>
      </c>
      <c r="S34" s="107" t="s">
        <v>74</v>
      </c>
      <c r="T34" s="109" t="s">
        <v>194</v>
      </c>
      <c r="U34" s="104" t="s">
        <v>175</v>
      </c>
      <c r="V34" s="103" t="s">
        <v>72</v>
      </c>
      <c r="W34" s="103">
        <v>0.0</v>
      </c>
      <c r="X34" s="103">
        <v>0.0</v>
      </c>
      <c r="Y34" s="103">
        <v>0.0</v>
      </c>
      <c r="Z34" s="105">
        <f t="shared" si="4"/>
        <v>0</v>
      </c>
      <c r="AA34" s="105">
        <f t="shared" si="5"/>
        <v>178000</v>
      </c>
      <c r="AB34" s="105">
        <f t="shared" si="6"/>
        <v>178000</v>
      </c>
      <c r="AC34" s="105">
        <f t="shared" si="7"/>
        <v>0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</row>
    <row r="35" ht="28.5" customHeight="1">
      <c r="A35" s="24">
        <v>25.0</v>
      </c>
      <c r="B35" s="54" t="s">
        <v>547</v>
      </c>
      <c r="C35" s="16" t="s">
        <v>548</v>
      </c>
      <c r="D35" s="16" t="s">
        <v>104</v>
      </c>
      <c r="E35" s="54" t="s">
        <v>44</v>
      </c>
      <c r="F35" s="54" t="s">
        <v>312</v>
      </c>
      <c r="G35" s="16" t="s">
        <v>134</v>
      </c>
      <c r="H35" s="16" t="s">
        <v>50</v>
      </c>
      <c r="I35" s="40">
        <v>2.11529019778E11</v>
      </c>
      <c r="J35" s="79">
        <v>9.680503384E9</v>
      </c>
      <c r="K35" s="61" t="s">
        <v>549</v>
      </c>
      <c r="L35" s="61" t="s">
        <v>550</v>
      </c>
      <c r="M35" s="40">
        <v>255000.0</v>
      </c>
      <c r="N35" s="40">
        <v>255000.0</v>
      </c>
      <c r="O35" s="40">
        <v>200000.0</v>
      </c>
      <c r="P35" s="16">
        <f t="shared" si="3"/>
        <v>55000</v>
      </c>
      <c r="Q35" s="61" t="s">
        <v>28</v>
      </c>
      <c r="R35" s="61" t="s">
        <v>65</v>
      </c>
      <c r="S35" s="61" t="s">
        <v>73</v>
      </c>
      <c r="T35" s="51" t="s">
        <v>194</v>
      </c>
      <c r="U35" s="16" t="s">
        <v>70</v>
      </c>
      <c r="V35" s="54" t="s">
        <v>72</v>
      </c>
      <c r="W35" s="54">
        <v>0.0</v>
      </c>
      <c r="X35" s="54">
        <v>0.0</v>
      </c>
      <c r="Y35" s="54">
        <v>0.0</v>
      </c>
      <c r="Z35" s="40">
        <f t="shared" si="4"/>
        <v>200000</v>
      </c>
      <c r="AA35" s="40">
        <f t="shared" si="5"/>
        <v>55000</v>
      </c>
      <c r="AB35" s="40">
        <f t="shared" si="6"/>
        <v>255000</v>
      </c>
      <c r="AC35" s="40">
        <f t="shared" si="7"/>
        <v>0</v>
      </c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</row>
    <row r="36">
      <c r="A36" s="24">
        <v>26.0</v>
      </c>
      <c r="B36" s="78" t="s">
        <v>551</v>
      </c>
      <c r="C36" s="72" t="s">
        <v>552</v>
      </c>
      <c r="D36" s="72" t="s">
        <v>104</v>
      </c>
      <c r="E36" s="78" t="s">
        <v>58</v>
      </c>
      <c r="F36" s="78" t="s">
        <v>77</v>
      </c>
      <c r="G36" s="78" t="s">
        <v>213</v>
      </c>
      <c r="H36" s="72" t="s">
        <v>215</v>
      </c>
      <c r="I36" s="110">
        <v>2.10416044512E11</v>
      </c>
      <c r="J36" s="111">
        <v>7.014841157E9</v>
      </c>
      <c r="K36" s="112" t="s">
        <v>553</v>
      </c>
      <c r="L36" s="113" t="s">
        <v>554</v>
      </c>
      <c r="M36" s="110">
        <v>260000.0</v>
      </c>
      <c r="N36" s="78">
        <v>260000.0</v>
      </c>
      <c r="O36" s="110">
        <v>200000.0</v>
      </c>
      <c r="P36" s="72">
        <f t="shared" si="3"/>
        <v>60000</v>
      </c>
      <c r="Q36" s="113" t="s">
        <v>28</v>
      </c>
      <c r="R36" s="113" t="s">
        <v>69</v>
      </c>
      <c r="S36" s="114" t="s">
        <v>83</v>
      </c>
      <c r="T36" s="77" t="s">
        <v>353</v>
      </c>
      <c r="U36" s="78" t="s">
        <v>175</v>
      </c>
      <c r="V36" s="78" t="s">
        <v>176</v>
      </c>
      <c r="W36" s="78">
        <v>140000.0</v>
      </c>
      <c r="X36" s="78">
        <v>0.0</v>
      </c>
      <c r="Y36" s="78">
        <v>0.0</v>
      </c>
      <c r="Z36" s="110">
        <f t="shared" si="4"/>
        <v>60000</v>
      </c>
      <c r="AA36" s="110">
        <f t="shared" si="5"/>
        <v>60000</v>
      </c>
      <c r="AB36" s="110">
        <f t="shared" si="6"/>
        <v>120000</v>
      </c>
      <c r="AC36" s="110">
        <f t="shared" si="7"/>
        <v>140000</v>
      </c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</row>
    <row r="37">
      <c r="A37" s="24">
        <v>27.0</v>
      </c>
      <c r="B37" s="54" t="s">
        <v>555</v>
      </c>
      <c r="C37" s="16" t="s">
        <v>556</v>
      </c>
      <c r="D37" s="16" t="s">
        <v>104</v>
      </c>
      <c r="E37" s="54" t="s">
        <v>44</v>
      </c>
      <c r="F37" s="16"/>
      <c r="G37" s="16" t="s">
        <v>557</v>
      </c>
      <c r="H37" s="16" t="s">
        <v>92</v>
      </c>
      <c r="I37" s="40">
        <v>2.11543012496E11</v>
      </c>
      <c r="J37" s="40">
        <v>9.772332271E9</v>
      </c>
      <c r="K37" s="16" t="s">
        <v>558</v>
      </c>
      <c r="L37" s="16" t="s">
        <v>559</v>
      </c>
      <c r="M37" s="16"/>
      <c r="N37" s="16"/>
      <c r="O37" s="16"/>
      <c r="P37" s="16"/>
      <c r="Q37" s="61" t="s">
        <v>28</v>
      </c>
      <c r="R37" s="61" t="s">
        <v>69</v>
      </c>
      <c r="S37" s="61" t="s">
        <v>71</v>
      </c>
      <c r="T37" s="51" t="s">
        <v>194</v>
      </c>
      <c r="U37" s="16" t="s">
        <v>70</v>
      </c>
      <c r="V37" s="54" t="s">
        <v>72</v>
      </c>
      <c r="W37" s="54">
        <v>0.0</v>
      </c>
      <c r="X37" s="54">
        <v>0.0</v>
      </c>
      <c r="Y37" s="54">
        <v>0.0</v>
      </c>
      <c r="Z37" s="40">
        <f t="shared" si="4"/>
        <v>0</v>
      </c>
      <c r="AA37" s="40">
        <f t="shared" si="5"/>
        <v>0</v>
      </c>
      <c r="AB37" s="40">
        <f t="shared" si="6"/>
        <v>0</v>
      </c>
      <c r="AC37" s="40">
        <f t="shared" si="7"/>
        <v>0</v>
      </c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</row>
    <row r="38">
      <c r="A38" s="24">
        <v>28.0</v>
      </c>
      <c r="B38" s="54" t="s">
        <v>560</v>
      </c>
      <c r="C38" s="16" t="s">
        <v>561</v>
      </c>
      <c r="D38" s="16" t="s">
        <v>258</v>
      </c>
      <c r="E38" s="54" t="s">
        <v>58</v>
      </c>
      <c r="F38" s="16"/>
      <c r="G38" s="16" t="s">
        <v>450</v>
      </c>
      <c r="H38" s="16" t="s">
        <v>450</v>
      </c>
      <c r="I38" s="40">
        <v>2.11467014489E11</v>
      </c>
      <c r="J38" s="40">
        <v>9.929885367E9</v>
      </c>
      <c r="K38" s="16" t="s">
        <v>562</v>
      </c>
      <c r="L38" s="115" t="s">
        <v>563</v>
      </c>
      <c r="M38" s="40">
        <v>225000.0</v>
      </c>
      <c r="N38" s="40">
        <v>350000.0</v>
      </c>
      <c r="O38" s="40">
        <v>200000.0</v>
      </c>
      <c r="P38" s="16">
        <f t="shared" ref="P38:P67" si="8">N38-O38</f>
        <v>150000</v>
      </c>
      <c r="Q38" s="61" t="s">
        <v>66</v>
      </c>
      <c r="R38" s="61" t="s">
        <v>65</v>
      </c>
      <c r="S38" s="61" t="s">
        <v>71</v>
      </c>
      <c r="T38" s="51" t="s">
        <v>194</v>
      </c>
      <c r="U38" s="16" t="s">
        <v>70</v>
      </c>
      <c r="V38" s="54" t="s">
        <v>72</v>
      </c>
      <c r="W38" s="54">
        <v>0.0</v>
      </c>
      <c r="X38" s="54">
        <v>0.0</v>
      </c>
      <c r="Y38" s="54">
        <v>0.0</v>
      </c>
      <c r="Z38" s="40">
        <f t="shared" si="4"/>
        <v>200000</v>
      </c>
      <c r="AA38" s="40">
        <f t="shared" si="5"/>
        <v>150000</v>
      </c>
      <c r="AB38" s="40">
        <f t="shared" si="6"/>
        <v>350000</v>
      </c>
      <c r="AC38" s="40">
        <f t="shared" si="7"/>
        <v>0</v>
      </c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</row>
    <row r="39">
      <c r="A39" s="24">
        <v>29.0</v>
      </c>
      <c r="B39" s="51" t="s">
        <v>564</v>
      </c>
      <c r="C39" s="51" t="s">
        <v>565</v>
      </c>
      <c r="D39" s="51" t="s">
        <v>104</v>
      </c>
      <c r="E39" s="51" t="s">
        <v>58</v>
      </c>
      <c r="F39" s="51"/>
      <c r="G39" s="51" t="s">
        <v>566</v>
      </c>
      <c r="H39" s="51" t="s">
        <v>567</v>
      </c>
      <c r="I39" s="51">
        <v>2.10412024739E11</v>
      </c>
      <c r="J39" s="51">
        <v>8.005772304E9</v>
      </c>
      <c r="K39" s="51" t="s">
        <v>568</v>
      </c>
      <c r="P39" s="16">
        <f t="shared" si="8"/>
        <v>0</v>
      </c>
      <c r="Q39" s="61" t="s">
        <v>28</v>
      </c>
      <c r="R39" s="61" t="s">
        <v>69</v>
      </c>
      <c r="S39" s="61" t="s">
        <v>71</v>
      </c>
      <c r="T39" s="51" t="s">
        <v>194</v>
      </c>
      <c r="U39" s="16" t="s">
        <v>70</v>
      </c>
      <c r="V39" s="54" t="s">
        <v>72</v>
      </c>
      <c r="W39" s="51">
        <v>0.0</v>
      </c>
      <c r="X39" s="51">
        <v>0.0</v>
      </c>
      <c r="Y39" s="51">
        <v>0.0</v>
      </c>
      <c r="Z39" s="40">
        <f t="shared" si="4"/>
        <v>0</v>
      </c>
      <c r="AA39" s="40">
        <f t="shared" si="5"/>
        <v>0</v>
      </c>
      <c r="AB39" s="40">
        <f t="shared" si="6"/>
        <v>0</v>
      </c>
      <c r="AC39" s="40">
        <f t="shared" si="7"/>
        <v>0</v>
      </c>
      <c r="AD39" s="43" t="s">
        <v>569</v>
      </c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</row>
    <row r="40" ht="30.75" customHeight="1">
      <c r="A40" s="24">
        <v>30.0</v>
      </c>
      <c r="B40" s="51" t="s">
        <v>570</v>
      </c>
      <c r="C40" s="51" t="s">
        <v>571</v>
      </c>
      <c r="D40" s="51" t="s">
        <v>104</v>
      </c>
      <c r="E40" s="51" t="s">
        <v>44</v>
      </c>
      <c r="H40" s="51" t="s">
        <v>192</v>
      </c>
      <c r="I40" s="51">
        <v>2.11534070409E11</v>
      </c>
      <c r="J40" s="51">
        <v>9.887624524E9</v>
      </c>
      <c r="K40" s="51" t="s">
        <v>572</v>
      </c>
      <c r="L40" s="51" t="s">
        <v>573</v>
      </c>
      <c r="M40" s="51">
        <v>225000.0</v>
      </c>
      <c r="N40" s="51">
        <v>280000.0</v>
      </c>
      <c r="O40" s="51">
        <v>200000.0</v>
      </c>
      <c r="P40" s="16">
        <f t="shared" si="8"/>
        <v>80000</v>
      </c>
      <c r="Q40" s="61" t="s">
        <v>28</v>
      </c>
      <c r="R40" s="61" t="s">
        <v>69</v>
      </c>
      <c r="S40" s="53" t="s">
        <v>71</v>
      </c>
      <c r="T40" s="51" t="s">
        <v>194</v>
      </c>
      <c r="U40" s="16" t="s">
        <v>70</v>
      </c>
      <c r="V40" s="54" t="s">
        <v>72</v>
      </c>
      <c r="W40" s="51">
        <v>0.0</v>
      </c>
      <c r="X40" s="51">
        <v>0.0</v>
      </c>
      <c r="Y40" s="51">
        <v>0.0</v>
      </c>
      <c r="Z40" s="40">
        <f t="shared" si="4"/>
        <v>200000</v>
      </c>
      <c r="AA40" s="40">
        <f t="shared" si="5"/>
        <v>80000</v>
      </c>
      <c r="AB40" s="40">
        <f t="shared" si="6"/>
        <v>280000</v>
      </c>
      <c r="AC40" s="40">
        <f t="shared" si="7"/>
        <v>0</v>
      </c>
      <c r="AD40" s="43" t="s">
        <v>575</v>
      </c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</row>
    <row r="41">
      <c r="A41" s="24">
        <v>31.0</v>
      </c>
      <c r="B41" s="20" t="s">
        <v>576</v>
      </c>
      <c r="C41" s="54" t="s">
        <v>577</v>
      </c>
      <c r="D41" s="54" t="s">
        <v>132</v>
      </c>
      <c r="E41" s="54" t="s">
        <v>44</v>
      </c>
      <c r="F41" s="54" t="s">
        <v>466</v>
      </c>
      <c r="G41" s="54" t="s">
        <v>578</v>
      </c>
      <c r="H41" s="54" t="s">
        <v>124</v>
      </c>
      <c r="I41" s="43">
        <v>2.11525056995E11</v>
      </c>
      <c r="J41" s="54">
        <v>7.06283196E9</v>
      </c>
      <c r="K41" s="54" t="s">
        <v>579</v>
      </c>
      <c r="L41" s="54" t="s">
        <v>580</v>
      </c>
      <c r="M41" s="54">
        <v>195000.0</v>
      </c>
      <c r="N41" s="43">
        <v>175000.0</v>
      </c>
      <c r="O41" s="54">
        <v>175000.0</v>
      </c>
      <c r="P41" s="16">
        <f t="shared" si="8"/>
        <v>0</v>
      </c>
      <c r="Q41" s="53" t="s">
        <v>28</v>
      </c>
      <c r="R41" s="53" t="s">
        <v>69</v>
      </c>
      <c r="S41" s="53" t="s">
        <v>67</v>
      </c>
      <c r="T41" s="51" t="s">
        <v>194</v>
      </c>
      <c r="U41" s="54" t="s">
        <v>70</v>
      </c>
      <c r="V41" s="54" t="s">
        <v>72</v>
      </c>
      <c r="W41" s="54">
        <v>0.0</v>
      </c>
      <c r="X41" s="54">
        <v>0.0</v>
      </c>
      <c r="Y41" s="54">
        <v>0.0</v>
      </c>
      <c r="Z41" s="40">
        <f t="shared" si="4"/>
        <v>175000</v>
      </c>
      <c r="AA41" s="40">
        <f t="shared" si="5"/>
        <v>0</v>
      </c>
      <c r="AB41" s="40">
        <f t="shared" si="6"/>
        <v>175000</v>
      </c>
      <c r="AC41" s="40">
        <f t="shared" si="7"/>
        <v>0</v>
      </c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</row>
    <row r="42">
      <c r="A42" s="24">
        <v>32.0</v>
      </c>
      <c r="B42" s="51" t="s">
        <v>588</v>
      </c>
      <c r="D42" s="51" t="s">
        <v>104</v>
      </c>
      <c r="E42" s="51" t="s">
        <v>58</v>
      </c>
      <c r="L42" s="51" t="s">
        <v>591</v>
      </c>
      <c r="M42" s="51">
        <v>225000.0</v>
      </c>
      <c r="N42" s="51">
        <v>300000.0</v>
      </c>
      <c r="O42" s="51">
        <v>200000.0</v>
      </c>
      <c r="P42" s="16">
        <f t="shared" si="8"/>
        <v>100000</v>
      </c>
      <c r="Q42" s="53" t="s">
        <v>66</v>
      </c>
      <c r="R42" s="61" t="s">
        <v>69</v>
      </c>
      <c r="S42" s="61" t="s">
        <v>71</v>
      </c>
      <c r="T42" s="51" t="s">
        <v>194</v>
      </c>
      <c r="U42" s="16" t="s">
        <v>70</v>
      </c>
      <c r="V42" s="54" t="s">
        <v>72</v>
      </c>
      <c r="Z42" s="40">
        <f t="shared" si="4"/>
        <v>200000</v>
      </c>
      <c r="AA42" s="40">
        <f t="shared" si="5"/>
        <v>100000</v>
      </c>
      <c r="AB42" s="40">
        <f t="shared" si="6"/>
        <v>300000</v>
      </c>
      <c r="AC42" s="40">
        <f t="shared" si="7"/>
        <v>0</v>
      </c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</row>
    <row r="43">
      <c r="A43" s="24">
        <v>33.0</v>
      </c>
      <c r="B43" s="51" t="s">
        <v>597</v>
      </c>
      <c r="D43" s="51" t="s">
        <v>132</v>
      </c>
      <c r="E43" s="51" t="s">
        <v>156</v>
      </c>
      <c r="F43" s="51"/>
      <c r="G43" s="51" t="s">
        <v>133</v>
      </c>
      <c r="J43" s="51">
        <v>9.314777776E9</v>
      </c>
      <c r="L43" s="51" t="s">
        <v>598</v>
      </c>
      <c r="N43" s="51">
        <v>190000.0</v>
      </c>
      <c r="P43" s="16">
        <f t="shared" si="8"/>
        <v>190000</v>
      </c>
      <c r="Q43" s="53" t="s">
        <v>66</v>
      </c>
      <c r="R43" s="61" t="s">
        <v>69</v>
      </c>
      <c r="S43" s="61" t="s">
        <v>71</v>
      </c>
      <c r="T43" s="51" t="s">
        <v>194</v>
      </c>
      <c r="U43" s="16" t="s">
        <v>70</v>
      </c>
      <c r="V43" s="54" t="s">
        <v>72</v>
      </c>
      <c r="Z43" s="40">
        <f t="shared" si="4"/>
        <v>0</v>
      </c>
      <c r="AA43" s="40">
        <f t="shared" si="5"/>
        <v>190000</v>
      </c>
      <c r="AB43" s="40">
        <f t="shared" si="6"/>
        <v>190000</v>
      </c>
      <c r="AC43" s="40">
        <f t="shared" si="7"/>
        <v>0</v>
      </c>
      <c r="AD43" s="48"/>
    </row>
    <row r="44">
      <c r="A44" s="24">
        <v>34.0</v>
      </c>
      <c r="B44" s="51" t="s">
        <v>599</v>
      </c>
      <c r="C44" s="51" t="s">
        <v>600</v>
      </c>
      <c r="D44" s="51" t="s">
        <v>226</v>
      </c>
      <c r="E44" s="51" t="s">
        <v>58</v>
      </c>
      <c r="F44" s="51" t="s">
        <v>77</v>
      </c>
      <c r="G44" s="51" t="s">
        <v>114</v>
      </c>
      <c r="H44" s="51" t="s">
        <v>114</v>
      </c>
      <c r="I44" s="51">
        <v>2.11529036131E11</v>
      </c>
      <c r="J44" s="51">
        <v>7.073654309E9</v>
      </c>
      <c r="K44" s="51" t="s">
        <v>601</v>
      </c>
      <c r="L44" s="51" t="s">
        <v>602</v>
      </c>
      <c r="M44" s="51">
        <v>225000.0</v>
      </c>
      <c r="N44" s="51">
        <v>320000.0</v>
      </c>
      <c r="O44" s="51">
        <v>200000.0</v>
      </c>
      <c r="P44" s="16">
        <f t="shared" si="8"/>
        <v>120000</v>
      </c>
      <c r="Q44" s="53" t="s">
        <v>28</v>
      </c>
      <c r="R44" s="61" t="s">
        <v>69</v>
      </c>
      <c r="S44" s="61" t="s">
        <v>71</v>
      </c>
      <c r="T44" s="51" t="s">
        <v>194</v>
      </c>
      <c r="U44" s="16" t="s">
        <v>70</v>
      </c>
      <c r="V44" s="54" t="s">
        <v>72</v>
      </c>
      <c r="Z44" s="40">
        <f t="shared" si="4"/>
        <v>200000</v>
      </c>
      <c r="AA44" s="40">
        <f t="shared" si="5"/>
        <v>120000</v>
      </c>
      <c r="AB44" s="40">
        <f t="shared" si="6"/>
        <v>320000</v>
      </c>
      <c r="AC44" s="40">
        <f t="shared" si="7"/>
        <v>0</v>
      </c>
      <c r="AD44" s="48"/>
    </row>
    <row r="45">
      <c r="A45" s="24">
        <v>35.0</v>
      </c>
      <c r="B45" s="51" t="s">
        <v>41</v>
      </c>
      <c r="C45" s="51" t="s">
        <v>603</v>
      </c>
      <c r="D45" s="51" t="s">
        <v>43</v>
      </c>
      <c r="E45" s="51" t="s">
        <v>44</v>
      </c>
      <c r="F45" s="51" t="s">
        <v>312</v>
      </c>
      <c r="G45" s="51" t="s">
        <v>336</v>
      </c>
      <c r="H45" s="51" t="s">
        <v>336</v>
      </c>
      <c r="I45" s="51">
        <v>2.10516017535E11</v>
      </c>
      <c r="J45" s="51">
        <v>8.385001747E9</v>
      </c>
      <c r="K45" s="51" t="s">
        <v>604</v>
      </c>
      <c r="L45" s="93" t="s">
        <v>605</v>
      </c>
      <c r="M45" s="51">
        <v>195000.0</v>
      </c>
      <c r="N45" s="51">
        <v>175000.0</v>
      </c>
      <c r="O45" s="51">
        <v>175000.0</v>
      </c>
      <c r="P45" s="16">
        <f t="shared" si="8"/>
        <v>0</v>
      </c>
      <c r="Q45" s="53" t="s">
        <v>28</v>
      </c>
      <c r="R45" s="53" t="s">
        <v>65</v>
      </c>
      <c r="S45" s="53" t="s">
        <v>73</v>
      </c>
      <c r="T45" s="51" t="s">
        <v>194</v>
      </c>
      <c r="U45" s="16" t="s">
        <v>70</v>
      </c>
      <c r="V45" s="54" t="s">
        <v>72</v>
      </c>
      <c r="Z45" s="40">
        <f t="shared" si="4"/>
        <v>175000</v>
      </c>
      <c r="AA45" s="40">
        <f t="shared" si="5"/>
        <v>0</v>
      </c>
      <c r="AB45" s="40">
        <f t="shared" si="6"/>
        <v>175000</v>
      </c>
      <c r="AC45" s="40">
        <f t="shared" si="7"/>
        <v>0</v>
      </c>
      <c r="AD45" s="48"/>
    </row>
    <row r="46">
      <c r="A46" s="24">
        <v>36.0</v>
      </c>
      <c r="B46" s="51" t="s">
        <v>606</v>
      </c>
      <c r="C46" s="51" t="s">
        <v>607</v>
      </c>
      <c r="D46" s="51" t="s">
        <v>43</v>
      </c>
      <c r="E46" s="51" t="s">
        <v>44</v>
      </c>
      <c r="F46" s="51" t="s">
        <v>296</v>
      </c>
      <c r="G46" s="51" t="s">
        <v>608</v>
      </c>
      <c r="H46" s="51" t="s">
        <v>609</v>
      </c>
      <c r="I46" s="51">
        <v>2.11527026825E11</v>
      </c>
      <c r="J46" s="51">
        <v>9.929995027E9</v>
      </c>
      <c r="K46" s="51" t="s">
        <v>610</v>
      </c>
      <c r="L46" s="51" t="s">
        <v>611</v>
      </c>
      <c r="M46" s="51">
        <v>195000.0</v>
      </c>
      <c r="N46" s="51">
        <v>175000.0</v>
      </c>
      <c r="P46" s="16">
        <f t="shared" si="8"/>
        <v>175000</v>
      </c>
      <c r="Q46" s="53" t="s">
        <v>28</v>
      </c>
      <c r="R46" s="61" t="s">
        <v>69</v>
      </c>
      <c r="S46" s="53" t="s">
        <v>73</v>
      </c>
      <c r="T46" s="51" t="s">
        <v>194</v>
      </c>
      <c r="U46" s="16" t="s">
        <v>70</v>
      </c>
      <c r="V46" s="54" t="s">
        <v>72</v>
      </c>
      <c r="Z46" s="40">
        <f t="shared" si="4"/>
        <v>0</v>
      </c>
      <c r="AA46" s="40">
        <f t="shared" si="5"/>
        <v>175000</v>
      </c>
      <c r="AB46" s="40">
        <f t="shared" si="6"/>
        <v>175000</v>
      </c>
      <c r="AC46" s="40">
        <f t="shared" si="7"/>
        <v>0</v>
      </c>
      <c r="AD46" s="48"/>
    </row>
    <row r="47">
      <c r="A47" s="24">
        <v>37.0</v>
      </c>
      <c r="B47" s="27" t="s">
        <v>616</v>
      </c>
      <c r="C47" s="51" t="s">
        <v>617</v>
      </c>
      <c r="D47" s="51" t="s">
        <v>43</v>
      </c>
      <c r="E47" s="51" t="s">
        <v>44</v>
      </c>
      <c r="F47" s="51" t="s">
        <v>77</v>
      </c>
      <c r="G47" s="51" t="s">
        <v>619</v>
      </c>
      <c r="H47" s="51" t="s">
        <v>92</v>
      </c>
      <c r="I47" s="51">
        <v>2.11543022424E11</v>
      </c>
      <c r="J47" s="51">
        <v>9.636402416E9</v>
      </c>
      <c r="K47" s="51" t="s">
        <v>621</v>
      </c>
      <c r="L47" s="51" t="s">
        <v>622</v>
      </c>
      <c r="M47" s="51">
        <v>200000.0</v>
      </c>
      <c r="N47" s="51">
        <v>180000.0</v>
      </c>
      <c r="O47" s="51">
        <v>180000.0</v>
      </c>
      <c r="P47" s="16">
        <f t="shared" si="8"/>
        <v>0</v>
      </c>
      <c r="Q47" s="53" t="s">
        <v>66</v>
      </c>
      <c r="R47" s="61" t="s">
        <v>69</v>
      </c>
      <c r="S47" s="61" t="s">
        <v>71</v>
      </c>
      <c r="T47" s="51" t="s">
        <v>194</v>
      </c>
      <c r="U47" s="16" t="s">
        <v>70</v>
      </c>
      <c r="V47" s="54" t="s">
        <v>72</v>
      </c>
      <c r="Z47" s="40">
        <f t="shared" si="4"/>
        <v>180000</v>
      </c>
      <c r="AA47" s="40">
        <f t="shared" si="5"/>
        <v>0</v>
      </c>
      <c r="AB47" s="40">
        <f t="shared" si="6"/>
        <v>180000</v>
      </c>
      <c r="AC47" s="40">
        <f t="shared" si="7"/>
        <v>0</v>
      </c>
      <c r="AD47" s="48"/>
    </row>
    <row r="48">
      <c r="A48" s="24">
        <v>38.0</v>
      </c>
      <c r="B48" s="51" t="s">
        <v>623</v>
      </c>
      <c r="C48" s="51" t="s">
        <v>624</v>
      </c>
      <c r="D48" s="51" t="s">
        <v>274</v>
      </c>
      <c r="E48" s="51" t="s">
        <v>44</v>
      </c>
      <c r="F48" s="51" t="s">
        <v>77</v>
      </c>
      <c r="G48" s="51" t="s">
        <v>625</v>
      </c>
      <c r="H48" s="51" t="s">
        <v>92</v>
      </c>
      <c r="I48" s="51">
        <v>2.11543028689E11</v>
      </c>
      <c r="J48" s="51">
        <v>7.56816686E9</v>
      </c>
      <c r="K48" s="51" t="s">
        <v>626</v>
      </c>
      <c r="L48" s="51" t="s">
        <v>627</v>
      </c>
      <c r="M48" s="51">
        <v>195000.0</v>
      </c>
      <c r="N48" s="51">
        <v>175000.0</v>
      </c>
      <c r="O48" s="51">
        <v>175000.0</v>
      </c>
      <c r="P48" s="16">
        <f t="shared" si="8"/>
        <v>0</v>
      </c>
      <c r="Q48" s="53" t="s">
        <v>28</v>
      </c>
      <c r="R48" s="61" t="s">
        <v>69</v>
      </c>
      <c r="S48" s="53" t="s">
        <v>73</v>
      </c>
      <c r="T48" s="51" t="s">
        <v>194</v>
      </c>
      <c r="U48" s="16" t="s">
        <v>70</v>
      </c>
      <c r="V48" s="54" t="s">
        <v>72</v>
      </c>
      <c r="Z48" s="40">
        <f t="shared" si="4"/>
        <v>175000</v>
      </c>
      <c r="AA48" s="40">
        <f t="shared" si="5"/>
        <v>0</v>
      </c>
      <c r="AB48" s="40">
        <f t="shared" si="6"/>
        <v>175000</v>
      </c>
      <c r="AC48" s="40">
        <f t="shared" si="7"/>
        <v>0</v>
      </c>
      <c r="AD48" s="48"/>
    </row>
    <row r="49">
      <c r="A49" s="24">
        <v>39.0</v>
      </c>
      <c r="B49" s="51" t="s">
        <v>195</v>
      </c>
      <c r="C49" s="51" t="s">
        <v>633</v>
      </c>
      <c r="D49" s="51" t="s">
        <v>634</v>
      </c>
      <c r="E49" s="51" t="s">
        <v>635</v>
      </c>
      <c r="G49" s="51" t="s">
        <v>92</v>
      </c>
      <c r="H49" s="51" t="s">
        <v>92</v>
      </c>
      <c r="I49" s="51">
        <v>2.11543015954E11</v>
      </c>
      <c r="J49" s="51">
        <v>9.414820656E9</v>
      </c>
      <c r="K49" s="51" t="s">
        <v>636</v>
      </c>
      <c r="L49" s="51" t="s">
        <v>637</v>
      </c>
      <c r="N49" s="51">
        <v>400000.0</v>
      </c>
      <c r="P49" s="16">
        <f t="shared" si="8"/>
        <v>400000</v>
      </c>
      <c r="Q49" s="53" t="s">
        <v>66</v>
      </c>
      <c r="R49" s="61" t="s">
        <v>69</v>
      </c>
      <c r="S49" s="61" t="s">
        <v>71</v>
      </c>
      <c r="T49" s="51" t="s">
        <v>194</v>
      </c>
      <c r="U49" s="16" t="s">
        <v>70</v>
      </c>
      <c r="V49" s="54" t="s">
        <v>72</v>
      </c>
      <c r="Z49" s="40">
        <f t="shared" si="4"/>
        <v>0</v>
      </c>
      <c r="AA49" s="40">
        <f t="shared" si="5"/>
        <v>400000</v>
      </c>
      <c r="AB49" s="40">
        <f t="shared" si="6"/>
        <v>400000</v>
      </c>
      <c r="AC49" s="40">
        <f t="shared" si="7"/>
        <v>0</v>
      </c>
      <c r="AD49" s="48"/>
    </row>
    <row r="50">
      <c r="A50" s="24">
        <v>40.0</v>
      </c>
      <c r="B50" s="51" t="s">
        <v>41</v>
      </c>
      <c r="C50" s="51" t="s">
        <v>638</v>
      </c>
      <c r="D50" s="51" t="s">
        <v>372</v>
      </c>
      <c r="E50" s="51" t="s">
        <v>44</v>
      </c>
      <c r="F50" s="51" t="s">
        <v>77</v>
      </c>
      <c r="G50" s="51" t="s">
        <v>133</v>
      </c>
      <c r="H50" s="51" t="s">
        <v>124</v>
      </c>
      <c r="I50" s="51">
        <v>2.11525056339E11</v>
      </c>
      <c r="J50" s="51">
        <v>9.829652586E9</v>
      </c>
      <c r="K50" s="51" t="s">
        <v>639</v>
      </c>
      <c r="L50" s="51" t="s">
        <v>640</v>
      </c>
      <c r="M50" s="51">
        <v>245000.0</v>
      </c>
      <c r="N50" s="51">
        <v>245000.0</v>
      </c>
      <c r="P50" s="16">
        <f t="shared" si="8"/>
        <v>245000</v>
      </c>
      <c r="Q50" s="53" t="s">
        <v>28</v>
      </c>
      <c r="R50" s="61" t="s">
        <v>69</v>
      </c>
      <c r="S50" s="53" t="s">
        <v>73</v>
      </c>
      <c r="T50" s="51" t="s">
        <v>194</v>
      </c>
      <c r="U50" s="16" t="s">
        <v>70</v>
      </c>
      <c r="V50" s="54" t="s">
        <v>72</v>
      </c>
      <c r="Z50" s="40">
        <f t="shared" si="4"/>
        <v>0</v>
      </c>
      <c r="AA50" s="40">
        <f t="shared" si="5"/>
        <v>245000</v>
      </c>
      <c r="AB50" s="40">
        <f t="shared" si="6"/>
        <v>245000</v>
      </c>
      <c r="AC50" s="40">
        <f t="shared" si="7"/>
        <v>0</v>
      </c>
      <c r="AD50" s="48"/>
    </row>
    <row r="51">
      <c r="A51" s="24">
        <v>41.0</v>
      </c>
      <c r="B51" s="86" t="s">
        <v>370</v>
      </c>
      <c r="C51" s="86" t="s">
        <v>643</v>
      </c>
      <c r="D51" s="86" t="s">
        <v>110</v>
      </c>
      <c r="E51" s="86" t="s">
        <v>44</v>
      </c>
      <c r="F51" s="86" t="s">
        <v>77</v>
      </c>
      <c r="G51" s="86" t="s">
        <v>450</v>
      </c>
      <c r="H51" s="86" t="s">
        <v>645</v>
      </c>
      <c r="I51" s="86">
        <v>2.11467015514E11</v>
      </c>
      <c r="J51" s="86">
        <v>9.602597714E9</v>
      </c>
      <c r="K51" s="86" t="s">
        <v>646</v>
      </c>
      <c r="L51" s="86" t="s">
        <v>647</v>
      </c>
      <c r="M51" s="86">
        <v>265000.0</v>
      </c>
      <c r="N51" s="86">
        <v>265000.0</v>
      </c>
      <c r="O51" s="86">
        <v>200000.0</v>
      </c>
      <c r="P51" s="83">
        <f t="shared" si="8"/>
        <v>65000</v>
      </c>
      <c r="Q51" s="89" t="s">
        <v>28</v>
      </c>
      <c r="R51" s="88" t="s">
        <v>69</v>
      </c>
      <c r="S51" s="89" t="s">
        <v>83</v>
      </c>
      <c r="T51" s="86" t="s">
        <v>353</v>
      </c>
      <c r="U51" s="82" t="s">
        <v>175</v>
      </c>
      <c r="V51" s="82" t="s">
        <v>176</v>
      </c>
      <c r="W51" s="86">
        <v>140000.0</v>
      </c>
      <c r="X51" s="91"/>
      <c r="Y51" s="91"/>
      <c r="Z51" s="90">
        <f t="shared" si="4"/>
        <v>60000</v>
      </c>
      <c r="AA51" s="90">
        <f t="shared" si="5"/>
        <v>65000</v>
      </c>
      <c r="AB51" s="90">
        <f t="shared" si="6"/>
        <v>125000</v>
      </c>
      <c r="AC51" s="90">
        <f t="shared" si="7"/>
        <v>140000</v>
      </c>
      <c r="AD51" s="48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</row>
    <row r="52">
      <c r="A52" s="24">
        <v>42.0</v>
      </c>
      <c r="B52" s="51" t="s">
        <v>649</v>
      </c>
      <c r="C52" s="51" t="s">
        <v>650</v>
      </c>
      <c r="D52" s="51" t="s">
        <v>104</v>
      </c>
      <c r="E52" s="51" t="s">
        <v>44</v>
      </c>
      <c r="H52" s="51" t="s">
        <v>567</v>
      </c>
      <c r="I52" s="51">
        <v>2.10412001213E11</v>
      </c>
      <c r="L52" s="51" t="s">
        <v>651</v>
      </c>
      <c r="M52" s="51">
        <v>235000.0</v>
      </c>
      <c r="N52" s="51">
        <v>235000.0</v>
      </c>
      <c r="P52" s="16">
        <f t="shared" si="8"/>
        <v>235000</v>
      </c>
      <c r="Q52" s="53" t="s">
        <v>66</v>
      </c>
      <c r="R52" s="61" t="s">
        <v>69</v>
      </c>
      <c r="S52" s="61" t="s">
        <v>71</v>
      </c>
      <c r="T52" s="51" t="s">
        <v>194</v>
      </c>
      <c r="U52" s="16" t="s">
        <v>70</v>
      </c>
      <c r="V52" s="54" t="s">
        <v>72</v>
      </c>
      <c r="Z52" s="40">
        <f t="shared" si="4"/>
        <v>0</v>
      </c>
      <c r="AA52" s="40">
        <f t="shared" si="5"/>
        <v>235000</v>
      </c>
      <c r="AB52" s="40">
        <f t="shared" si="6"/>
        <v>235000</v>
      </c>
      <c r="AC52" s="40">
        <f t="shared" si="7"/>
        <v>0</v>
      </c>
      <c r="AD52" s="48"/>
    </row>
    <row r="53">
      <c r="A53" s="24">
        <v>43.0</v>
      </c>
      <c r="B53" s="51" t="s">
        <v>649</v>
      </c>
      <c r="C53" s="51" t="s">
        <v>654</v>
      </c>
      <c r="D53" s="51" t="s">
        <v>55</v>
      </c>
      <c r="E53" s="51" t="s">
        <v>58</v>
      </c>
      <c r="H53" s="51" t="s">
        <v>567</v>
      </c>
      <c r="I53" s="51">
        <v>2.10412004241E11</v>
      </c>
      <c r="J53" s="51">
        <v>9.509280175E9</v>
      </c>
      <c r="K53" s="51" t="s">
        <v>655</v>
      </c>
      <c r="L53" s="51" t="s">
        <v>656</v>
      </c>
      <c r="M53" s="51">
        <v>350000.0</v>
      </c>
      <c r="N53" s="51">
        <v>350000.0</v>
      </c>
      <c r="P53" s="16">
        <f t="shared" si="8"/>
        <v>350000</v>
      </c>
      <c r="Q53" s="53" t="s">
        <v>66</v>
      </c>
      <c r="R53" s="61" t="s">
        <v>69</v>
      </c>
      <c r="S53" s="53" t="s">
        <v>71</v>
      </c>
      <c r="T53" s="51" t="s">
        <v>194</v>
      </c>
      <c r="U53" s="16" t="s">
        <v>70</v>
      </c>
      <c r="V53" s="54" t="s">
        <v>72</v>
      </c>
      <c r="Z53" s="40">
        <f t="shared" si="4"/>
        <v>0</v>
      </c>
      <c r="AA53" s="40">
        <f t="shared" si="5"/>
        <v>350000</v>
      </c>
      <c r="AB53" s="40">
        <f t="shared" si="6"/>
        <v>350000</v>
      </c>
      <c r="AC53" s="40">
        <f t="shared" si="7"/>
        <v>0</v>
      </c>
      <c r="AD53" s="48"/>
    </row>
    <row r="54">
      <c r="A54" s="24">
        <v>44.0</v>
      </c>
      <c r="B54" s="125" t="s">
        <v>657</v>
      </c>
      <c r="C54" s="51" t="s">
        <v>658</v>
      </c>
      <c r="D54" s="51" t="s">
        <v>659</v>
      </c>
      <c r="E54" s="51" t="s">
        <v>156</v>
      </c>
      <c r="F54" s="51" t="s">
        <v>77</v>
      </c>
      <c r="G54" s="51" t="s">
        <v>660</v>
      </c>
      <c r="H54" s="51" t="s">
        <v>114</v>
      </c>
      <c r="I54" s="51">
        <v>2.11529027784E11</v>
      </c>
      <c r="J54" s="51">
        <v>9.78350303E9</v>
      </c>
      <c r="K54" s="51" t="s">
        <v>662</v>
      </c>
      <c r="L54" s="51" t="s">
        <v>663</v>
      </c>
      <c r="M54" s="51">
        <v>200000.0</v>
      </c>
      <c r="N54" s="51">
        <v>180000.0</v>
      </c>
      <c r="O54" s="51">
        <v>180000.0</v>
      </c>
      <c r="P54" s="16">
        <f t="shared" si="8"/>
        <v>0</v>
      </c>
      <c r="Q54" s="53" t="s">
        <v>28</v>
      </c>
      <c r="R54" s="61" t="s">
        <v>69</v>
      </c>
      <c r="S54" s="53" t="s">
        <v>666</v>
      </c>
      <c r="T54" s="51" t="s">
        <v>194</v>
      </c>
      <c r="U54" s="16" t="s">
        <v>70</v>
      </c>
      <c r="V54" s="54" t="s">
        <v>72</v>
      </c>
      <c r="Z54" s="40">
        <f t="shared" si="4"/>
        <v>180000</v>
      </c>
      <c r="AA54" s="40">
        <f t="shared" si="5"/>
        <v>0</v>
      </c>
      <c r="AB54" s="40">
        <f t="shared" si="6"/>
        <v>180000</v>
      </c>
      <c r="AC54" s="40">
        <f t="shared" si="7"/>
        <v>0</v>
      </c>
      <c r="AD54" s="48"/>
    </row>
    <row r="55">
      <c r="A55" s="24">
        <v>45.0</v>
      </c>
      <c r="B55" s="51" t="s">
        <v>189</v>
      </c>
      <c r="D55" s="51" t="s">
        <v>43</v>
      </c>
      <c r="E55" s="51" t="s">
        <v>44</v>
      </c>
      <c r="L55" s="51" t="s">
        <v>667</v>
      </c>
      <c r="M55" s="51">
        <v>180000.0</v>
      </c>
      <c r="N55" s="51">
        <v>180000.0</v>
      </c>
      <c r="O55" s="51">
        <v>0.0</v>
      </c>
      <c r="P55" s="16">
        <f t="shared" si="8"/>
        <v>180000</v>
      </c>
      <c r="Q55" s="53" t="s">
        <v>66</v>
      </c>
      <c r="R55" s="61" t="s">
        <v>69</v>
      </c>
      <c r="S55" s="53" t="s">
        <v>74</v>
      </c>
      <c r="T55" s="51" t="s">
        <v>194</v>
      </c>
      <c r="U55" s="16" t="s">
        <v>70</v>
      </c>
      <c r="V55" s="54" t="s">
        <v>72</v>
      </c>
      <c r="Z55" s="40">
        <f t="shared" si="4"/>
        <v>0</v>
      </c>
      <c r="AA55" s="40">
        <f t="shared" si="5"/>
        <v>180000</v>
      </c>
      <c r="AB55" s="40">
        <f t="shared" si="6"/>
        <v>180000</v>
      </c>
      <c r="AC55" s="40">
        <f t="shared" si="7"/>
        <v>0</v>
      </c>
      <c r="AD55" s="48"/>
    </row>
    <row r="56">
      <c r="A56" s="24">
        <v>46.0</v>
      </c>
      <c r="B56" s="51" t="s">
        <v>41</v>
      </c>
      <c r="C56" s="51" t="s">
        <v>668</v>
      </c>
      <c r="D56" s="51" t="s">
        <v>104</v>
      </c>
      <c r="E56" s="51" t="s">
        <v>44</v>
      </c>
      <c r="G56" s="51" t="s">
        <v>92</v>
      </c>
      <c r="H56" s="51" t="s">
        <v>92</v>
      </c>
      <c r="I56" s="51">
        <v>2.11543021862E11</v>
      </c>
      <c r="J56" s="51">
        <v>9.413969527E9</v>
      </c>
      <c r="K56" s="51" t="s">
        <v>670</v>
      </c>
      <c r="L56" s="51" t="s">
        <v>671</v>
      </c>
      <c r="M56" s="51">
        <v>200000.0</v>
      </c>
      <c r="N56" s="51">
        <v>180000.0</v>
      </c>
      <c r="O56" s="51">
        <v>180000.0</v>
      </c>
      <c r="P56" s="16">
        <f t="shared" si="8"/>
        <v>0</v>
      </c>
      <c r="Q56" s="53" t="s">
        <v>28</v>
      </c>
      <c r="R56" s="61" t="s">
        <v>69</v>
      </c>
      <c r="S56" s="53" t="s">
        <v>73</v>
      </c>
      <c r="T56" s="51" t="s">
        <v>194</v>
      </c>
      <c r="U56" s="16" t="s">
        <v>70</v>
      </c>
      <c r="V56" s="54" t="s">
        <v>72</v>
      </c>
      <c r="Z56" s="40">
        <f t="shared" si="4"/>
        <v>180000</v>
      </c>
      <c r="AA56" s="40">
        <f t="shared" si="5"/>
        <v>0</v>
      </c>
      <c r="AB56" s="40">
        <f t="shared" si="6"/>
        <v>180000</v>
      </c>
      <c r="AC56" s="40">
        <f t="shared" si="7"/>
        <v>0</v>
      </c>
      <c r="AD56" s="48"/>
    </row>
    <row r="57">
      <c r="A57" s="24">
        <v>47.0</v>
      </c>
      <c r="B57" s="51" t="s">
        <v>182</v>
      </c>
      <c r="C57" s="51" t="s">
        <v>674</v>
      </c>
      <c r="D57" s="51" t="s">
        <v>43</v>
      </c>
      <c r="E57" s="51" t="s">
        <v>44</v>
      </c>
      <c r="I57" s="51">
        <v>1.10521002365E11</v>
      </c>
      <c r="J57" s="51">
        <v>9.413943652E9</v>
      </c>
      <c r="K57" s="51" t="s">
        <v>675</v>
      </c>
      <c r="L57" s="51" t="s">
        <v>676</v>
      </c>
      <c r="M57" s="51">
        <v>206000.0</v>
      </c>
      <c r="N57" s="51">
        <v>185000.0</v>
      </c>
      <c r="P57" s="16">
        <f t="shared" si="8"/>
        <v>185000</v>
      </c>
      <c r="Q57" s="53" t="s">
        <v>66</v>
      </c>
      <c r="R57" s="61" t="s">
        <v>69</v>
      </c>
      <c r="S57" s="61" t="s">
        <v>71</v>
      </c>
      <c r="T57" s="51" t="s">
        <v>68</v>
      </c>
      <c r="U57" s="16" t="s">
        <v>70</v>
      </c>
      <c r="V57" s="54" t="s">
        <v>72</v>
      </c>
      <c r="Z57" s="40">
        <f t="shared" si="4"/>
        <v>0</v>
      </c>
      <c r="AA57" s="40">
        <f t="shared" si="5"/>
        <v>185000</v>
      </c>
      <c r="AB57" s="40">
        <f t="shared" si="6"/>
        <v>185000</v>
      </c>
      <c r="AC57" s="40">
        <f t="shared" si="7"/>
        <v>0</v>
      </c>
      <c r="AD57" s="48"/>
    </row>
    <row r="58">
      <c r="A58" s="24">
        <v>48.0</v>
      </c>
      <c r="B58" s="51" t="s">
        <v>679</v>
      </c>
      <c r="C58" s="51" t="s">
        <v>681</v>
      </c>
      <c r="D58" s="51" t="s">
        <v>43</v>
      </c>
      <c r="E58" s="51" t="s">
        <v>44</v>
      </c>
      <c r="F58" s="51" t="s">
        <v>77</v>
      </c>
      <c r="G58" s="51" t="s">
        <v>682</v>
      </c>
      <c r="H58" s="51" t="s">
        <v>114</v>
      </c>
      <c r="I58" s="51">
        <v>2.11529037099E11</v>
      </c>
      <c r="J58" s="51">
        <v>7.976921346E9</v>
      </c>
      <c r="K58" s="51" t="s">
        <v>684</v>
      </c>
      <c r="L58" s="51" t="s">
        <v>685</v>
      </c>
      <c r="M58" s="51">
        <v>195000.0</v>
      </c>
      <c r="N58" s="51">
        <v>175000.0</v>
      </c>
      <c r="O58" s="51">
        <v>175000.0</v>
      </c>
      <c r="P58" s="16">
        <f t="shared" si="8"/>
        <v>0</v>
      </c>
      <c r="Q58" s="53" t="s">
        <v>28</v>
      </c>
      <c r="R58" s="61" t="s">
        <v>69</v>
      </c>
      <c r="S58" s="53" t="s">
        <v>73</v>
      </c>
      <c r="T58" s="51" t="s">
        <v>194</v>
      </c>
      <c r="U58" s="16" t="s">
        <v>70</v>
      </c>
      <c r="V58" s="54" t="s">
        <v>72</v>
      </c>
      <c r="Z58" s="40">
        <f t="shared" si="4"/>
        <v>175000</v>
      </c>
      <c r="AA58" s="40">
        <f t="shared" si="5"/>
        <v>0</v>
      </c>
      <c r="AB58" s="40">
        <f t="shared" si="6"/>
        <v>175000</v>
      </c>
      <c r="AC58" s="40">
        <f t="shared" si="7"/>
        <v>0</v>
      </c>
      <c r="AD58" s="48"/>
    </row>
    <row r="59">
      <c r="A59" s="24">
        <v>49.0</v>
      </c>
      <c r="P59" s="16">
        <f t="shared" si="8"/>
        <v>0</v>
      </c>
      <c r="Q59" s="53" t="s">
        <v>66</v>
      </c>
      <c r="R59" s="61" t="s">
        <v>69</v>
      </c>
      <c r="S59" s="61" t="s">
        <v>71</v>
      </c>
      <c r="T59" s="51" t="s">
        <v>194</v>
      </c>
      <c r="U59" s="16" t="s">
        <v>70</v>
      </c>
      <c r="V59" s="54" t="s">
        <v>72</v>
      </c>
      <c r="Z59" s="40">
        <f t="shared" si="4"/>
        <v>0</v>
      </c>
      <c r="AA59" s="40">
        <f t="shared" si="5"/>
        <v>0</v>
      </c>
      <c r="AB59" s="40">
        <f t="shared" si="6"/>
        <v>0</v>
      </c>
      <c r="AC59" s="40">
        <f t="shared" si="7"/>
        <v>0</v>
      </c>
      <c r="AD59" s="48"/>
    </row>
    <row r="60">
      <c r="A60" s="24">
        <v>50.0</v>
      </c>
      <c r="P60" s="16">
        <f t="shared" si="8"/>
        <v>0</v>
      </c>
      <c r="Q60" s="53" t="s">
        <v>66</v>
      </c>
      <c r="R60" s="61" t="s">
        <v>69</v>
      </c>
      <c r="S60" s="61" t="s">
        <v>71</v>
      </c>
      <c r="T60" s="51" t="s">
        <v>194</v>
      </c>
      <c r="U60" s="16" t="s">
        <v>70</v>
      </c>
      <c r="V60" s="54" t="s">
        <v>72</v>
      </c>
      <c r="Z60" s="40">
        <f t="shared" si="4"/>
        <v>0</v>
      </c>
      <c r="AA60" s="40">
        <f t="shared" si="5"/>
        <v>0</v>
      </c>
      <c r="AB60" s="40">
        <f t="shared" si="6"/>
        <v>0</v>
      </c>
      <c r="AC60" s="40">
        <f t="shared" si="7"/>
        <v>0</v>
      </c>
      <c r="AD60" s="48"/>
    </row>
    <row r="61">
      <c r="P61" s="16">
        <f t="shared" si="8"/>
        <v>0</v>
      </c>
      <c r="Q61" s="53" t="s">
        <v>66</v>
      </c>
      <c r="R61" s="61" t="s">
        <v>69</v>
      </c>
      <c r="S61" s="61" t="s">
        <v>71</v>
      </c>
      <c r="T61" s="51" t="s">
        <v>194</v>
      </c>
      <c r="U61" s="16" t="s">
        <v>70</v>
      </c>
      <c r="V61" s="54" t="s">
        <v>72</v>
      </c>
      <c r="Z61" s="40">
        <f t="shared" si="4"/>
        <v>0</v>
      </c>
      <c r="AA61" s="40">
        <f t="shared" si="5"/>
        <v>0</v>
      </c>
      <c r="AB61" s="40">
        <f t="shared" si="6"/>
        <v>0</v>
      </c>
      <c r="AC61" s="40">
        <f t="shared" si="7"/>
        <v>0</v>
      </c>
      <c r="AD61" s="48"/>
    </row>
    <row r="62">
      <c r="P62" s="16">
        <f t="shared" si="8"/>
        <v>0</v>
      </c>
      <c r="Q62" s="53" t="s">
        <v>66</v>
      </c>
      <c r="R62" s="61" t="s">
        <v>69</v>
      </c>
      <c r="S62" s="61" t="s">
        <v>71</v>
      </c>
      <c r="T62" s="51" t="s">
        <v>194</v>
      </c>
      <c r="U62" s="16" t="s">
        <v>70</v>
      </c>
      <c r="V62" s="54" t="s">
        <v>72</v>
      </c>
      <c r="Z62" s="40">
        <f t="shared" si="4"/>
        <v>0</v>
      </c>
      <c r="AA62" s="40">
        <f t="shared" si="5"/>
        <v>0</v>
      </c>
      <c r="AB62" s="40">
        <f t="shared" si="6"/>
        <v>0</v>
      </c>
      <c r="AC62" s="40">
        <f t="shared" si="7"/>
        <v>0</v>
      </c>
      <c r="AD62" s="48"/>
    </row>
    <row r="63">
      <c r="P63" s="16">
        <f t="shared" si="8"/>
        <v>0</v>
      </c>
      <c r="Q63" s="53" t="s">
        <v>66</v>
      </c>
      <c r="R63" s="61" t="s">
        <v>69</v>
      </c>
      <c r="S63" s="61" t="s">
        <v>71</v>
      </c>
      <c r="T63" s="51" t="s">
        <v>194</v>
      </c>
      <c r="U63" s="16" t="s">
        <v>70</v>
      </c>
      <c r="V63" s="54" t="s">
        <v>72</v>
      </c>
      <c r="Z63" s="40">
        <f t="shared" si="4"/>
        <v>0</v>
      </c>
      <c r="AA63" s="40">
        <f t="shared" si="5"/>
        <v>0</v>
      </c>
      <c r="AB63" s="40">
        <f t="shared" si="6"/>
        <v>0</v>
      </c>
      <c r="AC63" s="40">
        <f t="shared" si="7"/>
        <v>0</v>
      </c>
      <c r="AD63" s="48"/>
    </row>
    <row r="64">
      <c r="P64" s="16">
        <f t="shared" si="8"/>
        <v>0</v>
      </c>
      <c r="Q64" s="53" t="s">
        <v>66</v>
      </c>
      <c r="R64" s="61" t="s">
        <v>69</v>
      </c>
      <c r="S64" s="61" t="s">
        <v>71</v>
      </c>
      <c r="T64" s="51" t="s">
        <v>194</v>
      </c>
      <c r="U64" s="16" t="s">
        <v>70</v>
      </c>
      <c r="V64" s="54" t="s">
        <v>72</v>
      </c>
      <c r="Z64" s="40">
        <f t="shared" si="4"/>
        <v>0</v>
      </c>
      <c r="AA64" s="40">
        <f t="shared" si="5"/>
        <v>0</v>
      </c>
      <c r="AB64" s="40">
        <f t="shared" si="6"/>
        <v>0</v>
      </c>
      <c r="AC64" s="40">
        <f t="shared" si="7"/>
        <v>0</v>
      </c>
      <c r="AD64" s="48"/>
    </row>
    <row r="65">
      <c r="P65" s="16">
        <f t="shared" si="8"/>
        <v>0</v>
      </c>
      <c r="Q65" s="53" t="s">
        <v>66</v>
      </c>
      <c r="R65" s="61" t="s">
        <v>69</v>
      </c>
      <c r="S65" s="61" t="s">
        <v>71</v>
      </c>
      <c r="T65" s="51" t="s">
        <v>194</v>
      </c>
      <c r="U65" s="16" t="s">
        <v>70</v>
      </c>
      <c r="V65" s="54" t="s">
        <v>72</v>
      </c>
      <c r="Z65" s="40">
        <f t="shared" si="4"/>
        <v>0</v>
      </c>
      <c r="AA65" s="40">
        <f t="shared" si="5"/>
        <v>0</v>
      </c>
      <c r="AB65" s="40">
        <f t="shared" si="6"/>
        <v>0</v>
      </c>
      <c r="AC65" s="40">
        <f t="shared" si="7"/>
        <v>0</v>
      </c>
      <c r="AD65" s="48"/>
    </row>
    <row r="66">
      <c r="P66" s="16">
        <f t="shared" si="8"/>
        <v>0</v>
      </c>
      <c r="Q66" s="53" t="s">
        <v>66</v>
      </c>
      <c r="R66" s="61" t="s">
        <v>69</v>
      </c>
      <c r="S66" s="61" t="s">
        <v>71</v>
      </c>
      <c r="T66" s="51" t="s">
        <v>194</v>
      </c>
      <c r="U66" s="16" t="s">
        <v>70</v>
      </c>
      <c r="V66" s="54" t="s">
        <v>72</v>
      </c>
      <c r="Z66" s="40">
        <f t="shared" si="4"/>
        <v>0</v>
      </c>
      <c r="AA66" s="40">
        <f t="shared" si="5"/>
        <v>0</v>
      </c>
      <c r="AB66" s="40">
        <f t="shared" si="6"/>
        <v>0</v>
      </c>
      <c r="AC66" s="40">
        <f t="shared" si="7"/>
        <v>0</v>
      </c>
      <c r="AD66" s="48"/>
    </row>
    <row r="67">
      <c r="P67" s="16">
        <f t="shared" si="8"/>
        <v>0</v>
      </c>
      <c r="Q67" s="53" t="s">
        <v>66</v>
      </c>
      <c r="R67" s="61" t="s">
        <v>69</v>
      </c>
      <c r="S67" s="61" t="s">
        <v>71</v>
      </c>
      <c r="T67" s="51" t="s">
        <v>194</v>
      </c>
      <c r="U67" s="16" t="s">
        <v>70</v>
      </c>
      <c r="V67" s="54" t="s">
        <v>72</v>
      </c>
      <c r="Z67" s="40">
        <f t="shared" si="4"/>
        <v>0</v>
      </c>
      <c r="AA67" s="40">
        <f t="shared" si="5"/>
        <v>0</v>
      </c>
      <c r="AB67" s="40">
        <f t="shared" si="6"/>
        <v>0</v>
      </c>
      <c r="AC67" s="40">
        <f t="shared" si="7"/>
        <v>0</v>
      </c>
      <c r="AD67" s="48"/>
    </row>
    <row r="68">
      <c r="V68" s="16"/>
      <c r="Z68" s="40"/>
      <c r="AD68" s="48"/>
    </row>
    <row r="69">
      <c r="V69" s="16"/>
      <c r="Z69" s="40"/>
      <c r="AD69" s="48"/>
    </row>
    <row r="70">
      <c r="V70" s="16"/>
      <c r="Z70" s="40"/>
      <c r="AD70" s="48"/>
    </row>
    <row r="71">
      <c r="V71" s="16"/>
      <c r="Z71" s="40"/>
      <c r="AD71" s="48"/>
    </row>
    <row r="72">
      <c r="V72" s="16"/>
      <c r="Z72" s="40"/>
      <c r="AD72" s="48"/>
    </row>
    <row r="73">
      <c r="V73" s="16"/>
      <c r="Z73" s="40"/>
      <c r="AD73" s="48"/>
    </row>
    <row r="74">
      <c r="V74" s="16"/>
      <c r="Z74" s="40"/>
      <c r="AD74" s="48"/>
    </row>
    <row r="75">
      <c r="V75" s="16"/>
      <c r="Z75" s="40"/>
      <c r="AD75" s="48"/>
    </row>
    <row r="76">
      <c r="Z76" s="40"/>
      <c r="AD76" s="48"/>
    </row>
    <row r="77">
      <c r="Z77" s="40"/>
      <c r="AD77" s="48"/>
    </row>
    <row r="78">
      <c r="Z78" s="40"/>
      <c r="AD78" s="48"/>
    </row>
    <row r="79">
      <c r="Z79" s="40"/>
      <c r="AD79" s="48"/>
    </row>
    <row r="80">
      <c r="Z80" s="40"/>
      <c r="AD80" s="48"/>
    </row>
    <row r="81">
      <c r="Z81" s="40"/>
      <c r="AD81" s="48"/>
    </row>
    <row r="82">
      <c r="Z82" s="40"/>
      <c r="AD82" s="48"/>
    </row>
    <row r="83">
      <c r="Z83" s="40"/>
      <c r="AD83" s="48"/>
    </row>
    <row r="84">
      <c r="Z84" s="40"/>
      <c r="AD84" s="48"/>
    </row>
    <row r="85">
      <c r="Z85" s="40"/>
      <c r="AD85" s="48"/>
    </row>
    <row r="86">
      <c r="Z86" s="40"/>
      <c r="AD86" s="48"/>
    </row>
    <row r="87">
      <c r="Z87" s="40"/>
      <c r="AD87" s="48"/>
    </row>
    <row r="88">
      <c r="Z88" s="40"/>
      <c r="AD88" s="48"/>
    </row>
    <row r="89">
      <c r="Z89" s="40"/>
      <c r="AD89" s="48"/>
    </row>
    <row r="90">
      <c r="Z90" s="40"/>
      <c r="AD90" s="48"/>
    </row>
    <row r="91">
      <c r="Z91" s="40"/>
      <c r="AD91" s="48"/>
    </row>
    <row r="92">
      <c r="Z92" s="40"/>
      <c r="AD92" s="48"/>
    </row>
    <row r="93">
      <c r="Z93" s="40"/>
      <c r="AD93" s="48"/>
    </row>
    <row r="94">
      <c r="Z94" s="40"/>
      <c r="AD94" s="48"/>
    </row>
    <row r="95">
      <c r="Z95" s="40"/>
      <c r="AD95" s="48"/>
    </row>
    <row r="96">
      <c r="Z96" s="40"/>
      <c r="AD96" s="48"/>
    </row>
    <row r="97">
      <c r="Z97" s="40"/>
      <c r="AD97" s="48"/>
    </row>
    <row r="98">
      <c r="Z98" s="40"/>
      <c r="AD98" s="48"/>
    </row>
    <row r="99">
      <c r="Z99" s="40"/>
      <c r="AD99" s="48"/>
    </row>
    <row r="100">
      <c r="Z100" s="40"/>
      <c r="AD100" s="48"/>
    </row>
    <row r="101">
      <c r="AD101" s="48"/>
    </row>
    <row r="102">
      <c r="AD102" s="48"/>
    </row>
    <row r="103">
      <c r="AD103" s="48"/>
    </row>
    <row r="104">
      <c r="AD104" s="48"/>
    </row>
    <row r="105">
      <c r="AD105" s="48"/>
    </row>
    <row r="106">
      <c r="AD106" s="48"/>
    </row>
    <row r="107">
      <c r="AD107" s="48"/>
    </row>
    <row r="108">
      <c r="AD108" s="48"/>
    </row>
    <row r="109">
      <c r="AD109" s="48"/>
    </row>
    <row r="110">
      <c r="AD110" s="48"/>
    </row>
    <row r="111">
      <c r="AD111" s="48"/>
    </row>
    <row r="112">
      <c r="AD112" s="48"/>
    </row>
    <row r="113">
      <c r="AD113" s="48"/>
    </row>
    <row r="114">
      <c r="AD114" s="48"/>
    </row>
    <row r="115">
      <c r="AD115" s="48"/>
    </row>
    <row r="116">
      <c r="AD116" s="48"/>
    </row>
    <row r="117">
      <c r="AD117" s="48"/>
    </row>
    <row r="118">
      <c r="AD118" s="48"/>
    </row>
    <row r="119">
      <c r="AD119" s="48"/>
    </row>
    <row r="120">
      <c r="AD120" s="48"/>
    </row>
    <row r="121">
      <c r="AD121" s="48"/>
    </row>
    <row r="122">
      <c r="AD122" s="48"/>
    </row>
    <row r="123">
      <c r="AD123" s="48"/>
    </row>
    <row r="124">
      <c r="AD124" s="48"/>
    </row>
    <row r="125">
      <c r="AD125" s="48"/>
    </row>
    <row r="126">
      <c r="AD126" s="48"/>
    </row>
    <row r="127">
      <c r="AD127" s="48"/>
    </row>
    <row r="128">
      <c r="AD128" s="48"/>
    </row>
    <row r="129">
      <c r="AD129" s="48"/>
    </row>
    <row r="130">
      <c r="AD130" s="48"/>
    </row>
    <row r="131">
      <c r="AD131" s="48"/>
    </row>
    <row r="132">
      <c r="AD132" s="48"/>
    </row>
    <row r="133">
      <c r="AD133" s="48"/>
    </row>
    <row r="134">
      <c r="AD134" s="48"/>
    </row>
    <row r="135">
      <c r="AD135" s="48"/>
    </row>
    <row r="136">
      <c r="AD136" s="48"/>
    </row>
    <row r="137">
      <c r="AD137" s="48"/>
    </row>
    <row r="138">
      <c r="AD138" s="48"/>
    </row>
    <row r="139">
      <c r="AD139" s="48"/>
    </row>
    <row r="140">
      <c r="AD140" s="48"/>
    </row>
    <row r="141">
      <c r="AD141" s="48"/>
    </row>
    <row r="142">
      <c r="AD142" s="48"/>
    </row>
    <row r="143">
      <c r="AD143" s="48"/>
    </row>
    <row r="144">
      <c r="AD144" s="48"/>
    </row>
    <row r="145">
      <c r="AD145" s="48"/>
    </row>
    <row r="146">
      <c r="AD146" s="48"/>
    </row>
    <row r="147">
      <c r="AD147" s="48"/>
    </row>
    <row r="148">
      <c r="AD148" s="48"/>
    </row>
    <row r="149">
      <c r="AD149" s="48"/>
    </row>
    <row r="150">
      <c r="AD150" s="48"/>
    </row>
    <row r="151">
      <c r="AD151" s="48"/>
    </row>
    <row r="152">
      <c r="AD152" s="48"/>
    </row>
    <row r="153">
      <c r="AD153" s="48"/>
    </row>
    <row r="154">
      <c r="AD154" s="48"/>
    </row>
    <row r="155">
      <c r="AD155" s="48"/>
    </row>
    <row r="156">
      <c r="AD156" s="48"/>
    </row>
    <row r="157">
      <c r="AD157" s="48"/>
    </row>
    <row r="158">
      <c r="AD158" s="48"/>
    </row>
    <row r="159">
      <c r="AD159" s="48"/>
    </row>
    <row r="160">
      <c r="AD160" s="48"/>
    </row>
    <row r="161">
      <c r="AD161" s="48"/>
    </row>
    <row r="162">
      <c r="AD162" s="48"/>
    </row>
    <row r="163">
      <c r="AD163" s="48"/>
    </row>
    <row r="164">
      <c r="AD164" s="48"/>
    </row>
    <row r="165">
      <c r="AD165" s="48"/>
    </row>
    <row r="166">
      <c r="AD166" s="48"/>
    </row>
    <row r="167">
      <c r="AD167" s="48"/>
    </row>
    <row r="168">
      <c r="AD168" s="48"/>
    </row>
    <row r="169">
      <c r="AD169" s="48"/>
    </row>
    <row r="170">
      <c r="AD170" s="48"/>
    </row>
    <row r="171">
      <c r="AD171" s="48"/>
    </row>
    <row r="172">
      <c r="AD172" s="48"/>
    </row>
    <row r="173">
      <c r="AD173" s="48"/>
    </row>
    <row r="174">
      <c r="AD174" s="48"/>
    </row>
    <row r="175">
      <c r="AD175" s="48"/>
    </row>
    <row r="176">
      <c r="AD176" s="48"/>
    </row>
    <row r="177">
      <c r="AD177" s="48"/>
    </row>
    <row r="178">
      <c r="AD178" s="48"/>
    </row>
    <row r="179">
      <c r="AD179" s="48"/>
    </row>
    <row r="180">
      <c r="AD180" s="48"/>
    </row>
    <row r="181">
      <c r="AD181" s="48"/>
    </row>
    <row r="182">
      <c r="AD182" s="48"/>
    </row>
    <row r="183">
      <c r="AD183" s="48"/>
    </row>
    <row r="184">
      <c r="AD184" s="48"/>
    </row>
    <row r="185">
      <c r="AD185" s="48"/>
    </row>
    <row r="186">
      <c r="AD186" s="48"/>
    </row>
    <row r="187">
      <c r="AD187" s="48"/>
    </row>
    <row r="188">
      <c r="AD188" s="48"/>
    </row>
    <row r="189">
      <c r="AD189" s="48"/>
    </row>
    <row r="190">
      <c r="AD190" s="48"/>
    </row>
    <row r="191">
      <c r="AD191" s="48"/>
    </row>
    <row r="192">
      <c r="AD192" s="48"/>
    </row>
    <row r="193">
      <c r="AD193" s="48"/>
    </row>
    <row r="194">
      <c r="AD194" s="48"/>
    </row>
    <row r="195">
      <c r="AD195" s="48"/>
    </row>
    <row r="196">
      <c r="AD196" s="48"/>
    </row>
    <row r="197">
      <c r="AD197" s="48"/>
    </row>
    <row r="198">
      <c r="AD198" s="48"/>
    </row>
    <row r="199">
      <c r="AD199" s="48"/>
    </row>
    <row r="200">
      <c r="AD200" s="48"/>
    </row>
    <row r="201">
      <c r="AD201" s="48"/>
    </row>
    <row r="202">
      <c r="AD202" s="48"/>
    </row>
    <row r="203">
      <c r="AD203" s="48"/>
    </row>
    <row r="204">
      <c r="AD204" s="48"/>
    </row>
    <row r="205">
      <c r="AD205" s="48"/>
    </row>
    <row r="206">
      <c r="AD206" s="48"/>
    </row>
    <row r="207">
      <c r="AD207" s="48"/>
    </row>
    <row r="208">
      <c r="AD208" s="48"/>
    </row>
    <row r="209">
      <c r="AD209" s="48"/>
    </row>
    <row r="210">
      <c r="AD210" s="48"/>
    </row>
    <row r="211">
      <c r="AD211" s="48"/>
    </row>
    <row r="212">
      <c r="AD212" s="48"/>
    </row>
    <row r="213">
      <c r="AD213" s="48"/>
    </row>
    <row r="214">
      <c r="AD214" s="48"/>
    </row>
    <row r="215">
      <c r="AD215" s="48"/>
    </row>
    <row r="216">
      <c r="AD216" s="48"/>
    </row>
    <row r="217">
      <c r="AD217" s="48"/>
    </row>
    <row r="218">
      <c r="AD218" s="48"/>
    </row>
    <row r="219">
      <c r="AD219" s="48"/>
    </row>
    <row r="220">
      <c r="AD220" s="48"/>
    </row>
    <row r="221">
      <c r="AD221" s="48"/>
    </row>
    <row r="222">
      <c r="AD222" s="48"/>
    </row>
    <row r="223">
      <c r="AD223" s="48"/>
    </row>
    <row r="224">
      <c r="AD224" s="48"/>
    </row>
    <row r="225">
      <c r="AD225" s="48"/>
    </row>
    <row r="226">
      <c r="AD226" s="48"/>
    </row>
    <row r="227">
      <c r="AD227" s="48"/>
    </row>
    <row r="228">
      <c r="AD228" s="48"/>
    </row>
    <row r="229">
      <c r="AD229" s="48"/>
    </row>
    <row r="230">
      <c r="AD230" s="48"/>
    </row>
    <row r="231">
      <c r="AD231" s="48"/>
    </row>
    <row r="232">
      <c r="AD232" s="48"/>
    </row>
    <row r="233">
      <c r="AD233" s="48"/>
    </row>
    <row r="234">
      <c r="AD234" s="48"/>
    </row>
    <row r="235">
      <c r="AD235" s="48"/>
    </row>
    <row r="236">
      <c r="AD236" s="48"/>
    </row>
    <row r="237">
      <c r="AD237" s="48"/>
    </row>
    <row r="238">
      <c r="AD238" s="48"/>
    </row>
    <row r="239">
      <c r="AD239" s="48"/>
    </row>
    <row r="240">
      <c r="AD240" s="48"/>
    </row>
    <row r="241">
      <c r="AD241" s="48"/>
    </row>
    <row r="242">
      <c r="AD242" s="48"/>
    </row>
    <row r="243">
      <c r="AD243" s="48"/>
    </row>
    <row r="244">
      <c r="AD244" s="48"/>
    </row>
    <row r="245">
      <c r="AD245" s="48"/>
    </row>
    <row r="246">
      <c r="AD246" s="48"/>
    </row>
    <row r="247">
      <c r="AD247" s="48"/>
    </row>
    <row r="248">
      <c r="AD248" s="48"/>
    </row>
    <row r="249">
      <c r="AD249" s="48"/>
    </row>
    <row r="250">
      <c r="AD250" s="48"/>
    </row>
    <row r="251">
      <c r="AD251" s="48"/>
    </row>
    <row r="252">
      <c r="AD252" s="48"/>
    </row>
    <row r="253">
      <c r="AD253" s="48"/>
    </row>
    <row r="254">
      <c r="AD254" s="48"/>
    </row>
    <row r="255">
      <c r="AD255" s="48"/>
    </row>
    <row r="256">
      <c r="AD256" s="48"/>
    </row>
    <row r="257">
      <c r="AD257" s="48"/>
    </row>
    <row r="258">
      <c r="AD258" s="48"/>
    </row>
    <row r="259">
      <c r="AD259" s="48"/>
    </row>
    <row r="260">
      <c r="AD260" s="48"/>
    </row>
    <row r="261">
      <c r="AD261" s="48"/>
    </row>
    <row r="262">
      <c r="AD262" s="48"/>
    </row>
    <row r="263">
      <c r="AD263" s="48"/>
    </row>
    <row r="264">
      <c r="AD264" s="48"/>
    </row>
    <row r="265">
      <c r="AD265" s="48"/>
    </row>
    <row r="266">
      <c r="AD266" s="48"/>
    </row>
    <row r="267">
      <c r="AD267" s="48"/>
    </row>
    <row r="268">
      <c r="AD268" s="48"/>
    </row>
    <row r="269">
      <c r="AD269" s="48"/>
    </row>
    <row r="270">
      <c r="AD270" s="48"/>
    </row>
    <row r="271">
      <c r="AD271" s="48"/>
    </row>
    <row r="272">
      <c r="AD272" s="48"/>
    </row>
    <row r="273">
      <c r="AD273" s="48"/>
    </row>
    <row r="274">
      <c r="AD274" s="48"/>
    </row>
    <row r="275">
      <c r="AD275" s="48"/>
    </row>
    <row r="276">
      <c r="AD276" s="48"/>
    </row>
    <row r="277">
      <c r="AD277" s="48"/>
    </row>
    <row r="278">
      <c r="AD278" s="48"/>
    </row>
    <row r="279">
      <c r="AD279" s="48"/>
    </row>
    <row r="280">
      <c r="AD280" s="48"/>
    </row>
    <row r="281">
      <c r="AD281" s="48"/>
    </row>
    <row r="282">
      <c r="AD282" s="48"/>
    </row>
    <row r="283">
      <c r="AD283" s="48"/>
    </row>
    <row r="284">
      <c r="AD284" s="48"/>
    </row>
    <row r="285">
      <c r="AD285" s="48"/>
    </row>
    <row r="286">
      <c r="AD286" s="48"/>
    </row>
    <row r="287">
      <c r="AD287" s="48"/>
    </row>
    <row r="288">
      <c r="AD288" s="48"/>
    </row>
    <row r="289">
      <c r="AD289" s="48"/>
    </row>
    <row r="290">
      <c r="AD290" s="48"/>
    </row>
    <row r="291">
      <c r="AD291" s="48"/>
    </row>
    <row r="292">
      <c r="AD292" s="48"/>
    </row>
    <row r="293">
      <c r="AD293" s="48"/>
    </row>
    <row r="294">
      <c r="AD294" s="48"/>
    </row>
    <row r="295">
      <c r="AD295" s="48"/>
    </row>
    <row r="296">
      <c r="AD296" s="48"/>
    </row>
    <row r="297">
      <c r="AD297" s="48"/>
    </row>
    <row r="298">
      <c r="AD298" s="48"/>
    </row>
    <row r="299">
      <c r="AD299" s="48"/>
    </row>
    <row r="300">
      <c r="AD300" s="48"/>
    </row>
    <row r="301">
      <c r="AD301" s="48"/>
    </row>
    <row r="302">
      <c r="AD302" s="48"/>
    </row>
    <row r="303">
      <c r="AD303" s="48"/>
    </row>
    <row r="304">
      <c r="AD304" s="48"/>
    </row>
    <row r="305">
      <c r="AD305" s="48"/>
    </row>
    <row r="306">
      <c r="AD306" s="48"/>
    </row>
    <row r="307">
      <c r="AD307" s="48"/>
    </row>
    <row r="308">
      <c r="AD308" s="48"/>
    </row>
    <row r="309">
      <c r="AD309" s="48"/>
    </row>
    <row r="310">
      <c r="AD310" s="48"/>
    </row>
    <row r="311">
      <c r="AD311" s="48"/>
    </row>
    <row r="312">
      <c r="AD312" s="48"/>
    </row>
    <row r="313">
      <c r="AD313" s="48"/>
    </row>
    <row r="314">
      <c r="AD314" s="48"/>
    </row>
    <row r="315">
      <c r="AD315" s="48"/>
    </row>
    <row r="316">
      <c r="AD316" s="48"/>
    </row>
    <row r="317">
      <c r="AD317" s="48"/>
    </row>
    <row r="318">
      <c r="AD318" s="48"/>
    </row>
    <row r="319">
      <c r="AD319" s="48"/>
    </row>
    <row r="320">
      <c r="AD320" s="48"/>
    </row>
    <row r="321">
      <c r="AD321" s="48"/>
    </row>
    <row r="322">
      <c r="AD322" s="48"/>
    </row>
    <row r="323">
      <c r="AD323" s="48"/>
    </row>
    <row r="324">
      <c r="AD324" s="48"/>
    </row>
    <row r="325">
      <c r="AD325" s="48"/>
    </row>
    <row r="326">
      <c r="AD326" s="48"/>
    </row>
    <row r="327">
      <c r="AD327" s="48"/>
    </row>
    <row r="328">
      <c r="AD328" s="48"/>
    </row>
    <row r="329">
      <c r="AD329" s="48"/>
    </row>
    <row r="330">
      <c r="AD330" s="48"/>
    </row>
    <row r="331">
      <c r="AD331" s="48"/>
    </row>
    <row r="332">
      <c r="AD332" s="48"/>
    </row>
    <row r="333">
      <c r="AD333" s="48"/>
    </row>
    <row r="334">
      <c r="AD334" s="48"/>
    </row>
    <row r="335">
      <c r="AD335" s="48"/>
    </row>
    <row r="336">
      <c r="AD336" s="48"/>
    </row>
    <row r="337">
      <c r="AD337" s="48"/>
    </row>
    <row r="338">
      <c r="AD338" s="48"/>
    </row>
    <row r="339">
      <c r="AD339" s="48"/>
    </row>
    <row r="340">
      <c r="AD340" s="48"/>
    </row>
    <row r="341">
      <c r="AD341" s="48"/>
    </row>
    <row r="342">
      <c r="AD342" s="48"/>
    </row>
    <row r="343">
      <c r="AD343" s="48"/>
    </row>
    <row r="344">
      <c r="AD344" s="48"/>
    </row>
    <row r="345">
      <c r="AD345" s="48"/>
    </row>
    <row r="346">
      <c r="AD346" s="48"/>
    </row>
    <row r="347">
      <c r="AD347" s="48"/>
    </row>
    <row r="348">
      <c r="AD348" s="48"/>
    </row>
    <row r="349">
      <c r="AD349" s="48"/>
    </row>
    <row r="350">
      <c r="AD350" s="48"/>
    </row>
    <row r="351">
      <c r="AD351" s="48"/>
    </row>
    <row r="352">
      <c r="AD352" s="48"/>
    </row>
    <row r="353">
      <c r="AD353" s="48"/>
    </row>
    <row r="354">
      <c r="AD354" s="48"/>
    </row>
    <row r="355">
      <c r="AD355" s="48"/>
    </row>
    <row r="356">
      <c r="AD356" s="48"/>
    </row>
    <row r="357">
      <c r="AD357" s="48"/>
    </row>
    <row r="358">
      <c r="AD358" s="48"/>
    </row>
    <row r="359">
      <c r="AD359" s="48"/>
    </row>
    <row r="360">
      <c r="AD360" s="48"/>
    </row>
    <row r="361">
      <c r="AD361" s="48"/>
    </row>
    <row r="362">
      <c r="AD362" s="48"/>
    </row>
    <row r="363">
      <c r="AD363" s="48"/>
    </row>
    <row r="364">
      <c r="AD364" s="48"/>
    </row>
    <row r="365">
      <c r="AD365" s="48"/>
    </row>
    <row r="366">
      <c r="AD366" s="48"/>
    </row>
    <row r="367">
      <c r="AD367" s="48"/>
    </row>
    <row r="368">
      <c r="AD368" s="48"/>
    </row>
    <row r="369">
      <c r="AD369" s="48"/>
    </row>
    <row r="370">
      <c r="AD370" s="48"/>
    </row>
    <row r="371">
      <c r="AD371" s="48"/>
    </row>
    <row r="372">
      <c r="AD372" s="48"/>
    </row>
    <row r="373">
      <c r="AD373" s="48"/>
    </row>
    <row r="374">
      <c r="AD374" s="48"/>
    </row>
    <row r="375">
      <c r="AD375" s="48"/>
    </row>
    <row r="376">
      <c r="AD376" s="48"/>
    </row>
    <row r="377">
      <c r="AD377" s="48"/>
    </row>
    <row r="378">
      <c r="AD378" s="48"/>
    </row>
    <row r="379">
      <c r="AD379" s="48"/>
    </row>
    <row r="380">
      <c r="AD380" s="48"/>
    </row>
    <row r="381">
      <c r="AD381" s="48"/>
    </row>
    <row r="382">
      <c r="AD382" s="48"/>
    </row>
    <row r="383">
      <c r="AD383" s="48"/>
    </row>
    <row r="384">
      <c r="AD384" s="48"/>
    </row>
    <row r="385">
      <c r="AD385" s="48"/>
    </row>
    <row r="386">
      <c r="AD386" s="48"/>
    </row>
    <row r="387">
      <c r="AD387" s="48"/>
    </row>
    <row r="388">
      <c r="AD388" s="48"/>
    </row>
    <row r="389">
      <c r="AD389" s="48"/>
    </row>
    <row r="390">
      <c r="AD390" s="48"/>
    </row>
    <row r="391">
      <c r="AD391" s="48"/>
    </row>
    <row r="392">
      <c r="AD392" s="48"/>
    </row>
    <row r="393">
      <c r="AD393" s="48"/>
    </row>
    <row r="394">
      <c r="AD394" s="48"/>
    </row>
    <row r="395">
      <c r="AD395" s="48"/>
    </row>
    <row r="396">
      <c r="AD396" s="48"/>
    </row>
    <row r="397">
      <c r="AD397" s="48"/>
    </row>
    <row r="398">
      <c r="AD398" s="48"/>
    </row>
    <row r="399">
      <c r="AD399" s="48"/>
    </row>
    <row r="400">
      <c r="AD400" s="48"/>
    </row>
    <row r="401">
      <c r="AD401" s="48"/>
    </row>
    <row r="402">
      <c r="AD402" s="48"/>
    </row>
    <row r="403">
      <c r="AD403" s="48"/>
    </row>
    <row r="404">
      <c r="AD404" s="48"/>
    </row>
    <row r="405">
      <c r="AD405" s="48"/>
    </row>
    <row r="406">
      <c r="AD406" s="48"/>
    </row>
    <row r="407">
      <c r="AD407" s="48"/>
    </row>
    <row r="408">
      <c r="AD408" s="48"/>
    </row>
    <row r="409">
      <c r="AD409" s="48"/>
    </row>
    <row r="410">
      <c r="AD410" s="48"/>
    </row>
    <row r="411">
      <c r="AD411" s="48"/>
    </row>
    <row r="412">
      <c r="AD412" s="48"/>
    </row>
    <row r="413">
      <c r="AD413" s="48"/>
    </row>
    <row r="414">
      <c r="AD414" s="48"/>
    </row>
    <row r="415">
      <c r="AD415" s="48"/>
    </row>
    <row r="416">
      <c r="AD416" s="48"/>
    </row>
    <row r="417">
      <c r="AD417" s="48"/>
    </row>
    <row r="418">
      <c r="AD418" s="48"/>
    </row>
    <row r="419">
      <c r="AD419" s="48"/>
    </row>
    <row r="420">
      <c r="AD420" s="48"/>
    </row>
    <row r="421">
      <c r="AD421" s="48"/>
    </row>
    <row r="422">
      <c r="AD422" s="48"/>
    </row>
    <row r="423">
      <c r="AD423" s="48"/>
    </row>
    <row r="424">
      <c r="AD424" s="48"/>
    </row>
    <row r="425">
      <c r="AD425" s="48"/>
    </row>
    <row r="426">
      <c r="AD426" s="48"/>
    </row>
    <row r="427">
      <c r="AD427" s="48"/>
    </row>
    <row r="428">
      <c r="AD428" s="48"/>
    </row>
    <row r="429">
      <c r="AD429" s="48"/>
    </row>
    <row r="430">
      <c r="AD430" s="48"/>
    </row>
    <row r="431">
      <c r="AD431" s="48"/>
    </row>
    <row r="432">
      <c r="AD432" s="48"/>
    </row>
    <row r="433">
      <c r="AD433" s="48"/>
    </row>
    <row r="434">
      <c r="AD434" s="48"/>
    </row>
    <row r="435">
      <c r="AD435" s="48"/>
    </row>
    <row r="436">
      <c r="AD436" s="48"/>
    </row>
    <row r="437">
      <c r="AD437" s="48"/>
    </row>
    <row r="438">
      <c r="AD438" s="48"/>
    </row>
    <row r="439">
      <c r="AD439" s="48"/>
    </row>
    <row r="440">
      <c r="AD440" s="48"/>
    </row>
    <row r="441">
      <c r="AD441" s="48"/>
    </row>
    <row r="442">
      <c r="AD442" s="48"/>
    </row>
    <row r="443">
      <c r="AD443" s="48"/>
    </row>
    <row r="444">
      <c r="AD444" s="48"/>
    </row>
    <row r="445">
      <c r="AD445" s="48"/>
    </row>
    <row r="446">
      <c r="AD446" s="48"/>
    </row>
    <row r="447">
      <c r="AD447" s="48"/>
    </row>
    <row r="448">
      <c r="AD448" s="48"/>
    </row>
    <row r="449">
      <c r="AD449" s="48"/>
    </row>
    <row r="450">
      <c r="AD450" s="48"/>
    </row>
    <row r="451">
      <c r="AD451" s="48"/>
    </row>
    <row r="452">
      <c r="AD452" s="48"/>
    </row>
    <row r="453">
      <c r="AD453" s="48"/>
    </row>
    <row r="454">
      <c r="AD454" s="48"/>
    </row>
    <row r="455">
      <c r="AD455" s="48"/>
    </row>
    <row r="456">
      <c r="AD456" s="48"/>
    </row>
    <row r="457">
      <c r="AD457" s="48"/>
    </row>
    <row r="458">
      <c r="AD458" s="48"/>
    </row>
    <row r="459">
      <c r="AD459" s="48"/>
    </row>
    <row r="460">
      <c r="AD460" s="48"/>
    </row>
    <row r="461">
      <c r="AD461" s="48"/>
    </row>
    <row r="462">
      <c r="AD462" s="48"/>
    </row>
    <row r="463">
      <c r="AD463" s="48"/>
    </row>
    <row r="464">
      <c r="AD464" s="48"/>
    </row>
    <row r="465">
      <c r="AD465" s="48"/>
    </row>
    <row r="466">
      <c r="AD466" s="48"/>
    </row>
    <row r="467">
      <c r="AD467" s="48"/>
    </row>
    <row r="468">
      <c r="AD468" s="48"/>
    </row>
    <row r="469">
      <c r="AD469" s="48"/>
    </row>
    <row r="470">
      <c r="AD470" s="48"/>
    </row>
    <row r="471">
      <c r="AD471" s="48"/>
    </row>
    <row r="472">
      <c r="AD472" s="48"/>
    </row>
    <row r="473">
      <c r="AD473" s="48"/>
    </row>
    <row r="474">
      <c r="AD474" s="48"/>
    </row>
    <row r="475">
      <c r="AD475" s="48"/>
    </row>
    <row r="476">
      <c r="AD476" s="48"/>
    </row>
    <row r="477">
      <c r="AD477" s="48"/>
    </row>
    <row r="478">
      <c r="AD478" s="48"/>
    </row>
    <row r="479">
      <c r="AD479" s="48"/>
    </row>
    <row r="480">
      <c r="AD480" s="48"/>
    </row>
    <row r="481">
      <c r="AD481" s="48"/>
    </row>
    <row r="482">
      <c r="AD482" s="48"/>
    </row>
    <row r="483">
      <c r="AD483" s="48"/>
    </row>
    <row r="484">
      <c r="AD484" s="48"/>
    </row>
    <row r="485">
      <c r="AD485" s="48"/>
    </row>
    <row r="486">
      <c r="AD486" s="48"/>
    </row>
    <row r="487">
      <c r="AD487" s="48"/>
    </row>
    <row r="488">
      <c r="AD488" s="48"/>
    </row>
    <row r="489">
      <c r="AD489" s="48"/>
    </row>
    <row r="490">
      <c r="AD490" s="48"/>
    </row>
    <row r="491">
      <c r="AD491" s="48"/>
    </row>
    <row r="492">
      <c r="AD492" s="48"/>
    </row>
    <row r="493">
      <c r="AD493" s="48"/>
    </row>
    <row r="494">
      <c r="AD494" s="48"/>
    </row>
    <row r="495">
      <c r="AD495" s="48"/>
    </row>
    <row r="496">
      <c r="AD496" s="48"/>
    </row>
    <row r="497">
      <c r="AD497" s="48"/>
    </row>
    <row r="498">
      <c r="AD498" s="48"/>
    </row>
    <row r="499">
      <c r="AD499" s="48"/>
    </row>
    <row r="500">
      <c r="AD500" s="48"/>
    </row>
    <row r="501">
      <c r="AD501" s="48"/>
    </row>
    <row r="502">
      <c r="AD502" s="48"/>
    </row>
    <row r="503">
      <c r="AD503" s="48"/>
    </row>
    <row r="504">
      <c r="AD504" s="48"/>
    </row>
    <row r="505">
      <c r="AD505" s="48"/>
    </row>
    <row r="506">
      <c r="AD506" s="48"/>
    </row>
    <row r="507">
      <c r="AD507" s="48"/>
    </row>
    <row r="508">
      <c r="AD508" s="48"/>
    </row>
    <row r="509">
      <c r="AD509" s="48"/>
    </row>
    <row r="510">
      <c r="AD510" s="48"/>
    </row>
    <row r="511">
      <c r="AD511" s="48"/>
    </row>
    <row r="512">
      <c r="AD512" s="48"/>
    </row>
    <row r="513">
      <c r="AD513" s="48"/>
    </row>
    <row r="514">
      <c r="AD514" s="48"/>
    </row>
    <row r="515">
      <c r="AD515" s="48"/>
    </row>
    <row r="516">
      <c r="AD516" s="48"/>
    </row>
    <row r="517">
      <c r="AD517" s="48"/>
    </row>
    <row r="518">
      <c r="AD518" s="48"/>
    </row>
    <row r="519">
      <c r="AD519" s="48"/>
    </row>
    <row r="520">
      <c r="AD520" s="48"/>
    </row>
    <row r="521">
      <c r="AD521" s="48"/>
    </row>
    <row r="522">
      <c r="AD522" s="48"/>
    </row>
    <row r="523">
      <c r="AD523" s="48"/>
    </row>
    <row r="524">
      <c r="AD524" s="48"/>
    </row>
    <row r="525">
      <c r="AD525" s="48"/>
    </row>
    <row r="526">
      <c r="AD526" s="48"/>
    </row>
    <row r="527">
      <c r="AD527" s="48"/>
    </row>
    <row r="528">
      <c r="AD528" s="48"/>
    </row>
    <row r="529">
      <c r="AD529" s="48"/>
    </row>
    <row r="530">
      <c r="AD530" s="48"/>
    </row>
    <row r="531">
      <c r="AD531" s="48"/>
    </row>
    <row r="532">
      <c r="AD532" s="48"/>
    </row>
    <row r="533">
      <c r="AD533" s="48"/>
    </row>
    <row r="534">
      <c r="AD534" s="48"/>
    </row>
    <row r="535">
      <c r="AD535" s="48"/>
    </row>
    <row r="536">
      <c r="AD536" s="48"/>
    </row>
    <row r="537">
      <c r="AD537" s="48"/>
    </row>
    <row r="538">
      <c r="AD538" s="48"/>
    </row>
    <row r="539">
      <c r="AD539" s="48"/>
    </row>
    <row r="540">
      <c r="AD540" s="48"/>
    </row>
    <row r="541">
      <c r="AD541" s="48"/>
    </row>
    <row r="542">
      <c r="AD542" s="48"/>
    </row>
    <row r="543">
      <c r="AD543" s="48"/>
    </row>
    <row r="544">
      <c r="AD544" s="48"/>
    </row>
    <row r="545">
      <c r="AD545" s="48"/>
    </row>
    <row r="546">
      <c r="AD546" s="48"/>
    </row>
    <row r="547">
      <c r="AD547" s="48"/>
    </row>
    <row r="548">
      <c r="AD548" s="48"/>
    </row>
    <row r="549">
      <c r="AD549" s="48"/>
    </row>
    <row r="550">
      <c r="AD550" s="48"/>
    </row>
    <row r="551">
      <c r="AD551" s="48"/>
    </row>
    <row r="552">
      <c r="AD552" s="48"/>
    </row>
    <row r="553">
      <c r="AD553" s="48"/>
    </row>
    <row r="554">
      <c r="AD554" s="48"/>
    </row>
    <row r="555">
      <c r="AD555" s="48"/>
    </row>
    <row r="556">
      <c r="AD556" s="48"/>
    </row>
    <row r="557">
      <c r="AD557" s="48"/>
    </row>
    <row r="558">
      <c r="AD558" s="48"/>
    </row>
    <row r="559">
      <c r="AD559" s="48"/>
    </row>
    <row r="560">
      <c r="AD560" s="48"/>
    </row>
    <row r="561">
      <c r="AD561" s="48"/>
    </row>
    <row r="562">
      <c r="AD562" s="48"/>
    </row>
    <row r="563">
      <c r="AD563" s="48"/>
    </row>
    <row r="564">
      <c r="AD564" s="48"/>
    </row>
    <row r="565">
      <c r="AD565" s="48"/>
    </row>
    <row r="566">
      <c r="AD566" s="48"/>
    </row>
    <row r="567">
      <c r="AD567" s="48"/>
    </row>
    <row r="568">
      <c r="AD568" s="48"/>
    </row>
    <row r="569">
      <c r="AD569" s="48"/>
    </row>
    <row r="570">
      <c r="AD570" s="48"/>
    </row>
    <row r="571">
      <c r="AD571" s="48"/>
    </row>
    <row r="572">
      <c r="AD572" s="48"/>
    </row>
    <row r="573">
      <c r="AD573" s="48"/>
    </row>
    <row r="574">
      <c r="AD574" s="48"/>
    </row>
    <row r="575">
      <c r="AD575" s="48"/>
    </row>
    <row r="576">
      <c r="AD576" s="48"/>
    </row>
    <row r="577">
      <c r="AD577" s="48"/>
    </row>
    <row r="578">
      <c r="AD578" s="48"/>
    </row>
    <row r="579">
      <c r="AD579" s="48"/>
    </row>
    <row r="580">
      <c r="AD580" s="48"/>
    </row>
    <row r="581">
      <c r="AD581" s="48"/>
    </row>
    <row r="582">
      <c r="AD582" s="48"/>
    </row>
    <row r="583">
      <c r="AD583" s="48"/>
    </row>
    <row r="584">
      <c r="AD584" s="48"/>
    </row>
    <row r="585">
      <c r="AD585" s="48"/>
    </row>
    <row r="586">
      <c r="AD586" s="48"/>
    </row>
    <row r="587">
      <c r="AD587" s="48"/>
    </row>
    <row r="588">
      <c r="AD588" s="48"/>
    </row>
    <row r="589">
      <c r="AD589" s="48"/>
    </row>
    <row r="590">
      <c r="AD590" s="48"/>
    </row>
    <row r="591">
      <c r="AD591" s="48"/>
    </row>
    <row r="592">
      <c r="AD592" s="48"/>
    </row>
    <row r="593">
      <c r="AD593" s="48"/>
    </row>
    <row r="594">
      <c r="AD594" s="48"/>
    </row>
    <row r="595">
      <c r="AD595" s="48"/>
    </row>
    <row r="596">
      <c r="AD596" s="48"/>
    </row>
    <row r="597">
      <c r="AD597" s="48"/>
    </row>
    <row r="598">
      <c r="AD598" s="48"/>
    </row>
    <row r="599">
      <c r="AD599" s="48"/>
    </row>
    <row r="600">
      <c r="AD600" s="48"/>
    </row>
    <row r="601">
      <c r="AD601" s="48"/>
    </row>
    <row r="602">
      <c r="AD602" s="48"/>
    </row>
    <row r="603">
      <c r="AD603" s="48"/>
    </row>
    <row r="604">
      <c r="AD604" s="48"/>
    </row>
    <row r="605">
      <c r="AD605" s="48"/>
    </row>
    <row r="606">
      <c r="AD606" s="48"/>
    </row>
    <row r="607">
      <c r="AD607" s="48"/>
    </row>
    <row r="608">
      <c r="AD608" s="48"/>
    </row>
    <row r="609">
      <c r="AD609" s="48"/>
    </row>
    <row r="610">
      <c r="AD610" s="48"/>
    </row>
    <row r="611">
      <c r="AD611" s="48"/>
    </row>
    <row r="612">
      <c r="AD612" s="48"/>
    </row>
    <row r="613">
      <c r="AD613" s="48"/>
    </row>
    <row r="614">
      <c r="AD614" s="48"/>
    </row>
    <row r="615">
      <c r="AD615" s="48"/>
    </row>
    <row r="616">
      <c r="AD616" s="48"/>
    </row>
    <row r="617">
      <c r="AD617" s="48"/>
    </row>
    <row r="618">
      <c r="AD618" s="48"/>
    </row>
    <row r="619">
      <c r="AD619" s="48"/>
    </row>
    <row r="620">
      <c r="AD620" s="48"/>
    </row>
    <row r="621">
      <c r="AD621" s="48"/>
    </row>
    <row r="622">
      <c r="AD622" s="48"/>
    </row>
    <row r="623">
      <c r="AD623" s="48"/>
    </row>
    <row r="624">
      <c r="AD624" s="48"/>
    </row>
    <row r="625">
      <c r="AD625" s="48"/>
    </row>
    <row r="626">
      <c r="AD626" s="48"/>
    </row>
    <row r="627">
      <c r="AD627" s="48"/>
    </row>
    <row r="628">
      <c r="AD628" s="48"/>
    </row>
    <row r="629">
      <c r="AD629" s="48"/>
    </row>
    <row r="630">
      <c r="AD630" s="48"/>
    </row>
    <row r="631">
      <c r="AD631" s="48"/>
    </row>
    <row r="632">
      <c r="AD632" s="48"/>
    </row>
    <row r="633">
      <c r="AD633" s="48"/>
    </row>
    <row r="634">
      <c r="AD634" s="48"/>
    </row>
    <row r="635">
      <c r="AD635" s="48"/>
    </row>
    <row r="636">
      <c r="AD636" s="48"/>
    </row>
    <row r="637">
      <c r="AD637" s="48"/>
    </row>
    <row r="638">
      <c r="AD638" s="48"/>
    </row>
    <row r="639">
      <c r="AD639" s="48"/>
    </row>
    <row r="640">
      <c r="AD640" s="48"/>
    </row>
    <row r="641">
      <c r="AD641" s="48"/>
    </row>
    <row r="642">
      <c r="AD642" s="48"/>
    </row>
    <row r="643">
      <c r="AD643" s="48"/>
    </row>
    <row r="644">
      <c r="AD644" s="48"/>
    </row>
    <row r="645">
      <c r="AD645" s="48"/>
    </row>
    <row r="646">
      <c r="AD646" s="48"/>
    </row>
    <row r="647">
      <c r="AD647" s="48"/>
    </row>
    <row r="648">
      <c r="AD648" s="48"/>
    </row>
    <row r="649">
      <c r="AD649" s="48"/>
    </row>
    <row r="650">
      <c r="AD650" s="48"/>
    </row>
    <row r="651">
      <c r="AD651" s="48"/>
    </row>
    <row r="652">
      <c r="AD652" s="48"/>
    </row>
    <row r="653">
      <c r="AD653" s="48"/>
    </row>
    <row r="654">
      <c r="AD654" s="48"/>
    </row>
    <row r="655">
      <c r="AD655" s="48"/>
    </row>
    <row r="656">
      <c r="AD656" s="48"/>
    </row>
    <row r="657">
      <c r="AD657" s="48"/>
    </row>
    <row r="658">
      <c r="AD658" s="48"/>
    </row>
    <row r="659">
      <c r="AD659" s="48"/>
    </row>
    <row r="660">
      <c r="AD660" s="48"/>
    </row>
    <row r="661">
      <c r="AD661" s="48"/>
    </row>
    <row r="662">
      <c r="AD662" s="48"/>
    </row>
    <row r="663">
      <c r="AD663" s="48"/>
    </row>
    <row r="664">
      <c r="AD664" s="48"/>
    </row>
    <row r="665">
      <c r="AD665" s="48"/>
    </row>
    <row r="666">
      <c r="AD666" s="48"/>
    </row>
    <row r="667">
      <c r="AD667" s="48"/>
    </row>
    <row r="668">
      <c r="AD668" s="48"/>
    </row>
    <row r="669">
      <c r="AD669" s="48"/>
    </row>
    <row r="670">
      <c r="AD670" s="48"/>
    </row>
    <row r="671">
      <c r="AD671" s="48"/>
    </row>
    <row r="672">
      <c r="AD672" s="48"/>
    </row>
    <row r="673">
      <c r="AD673" s="48"/>
    </row>
    <row r="674">
      <c r="AD674" s="48"/>
    </row>
    <row r="675">
      <c r="AD675" s="48"/>
    </row>
    <row r="676">
      <c r="AD676" s="48"/>
    </row>
    <row r="677">
      <c r="AD677" s="48"/>
    </row>
    <row r="678">
      <c r="AD678" s="48"/>
    </row>
    <row r="679">
      <c r="AD679" s="48"/>
    </row>
    <row r="680">
      <c r="AD680" s="48"/>
    </row>
    <row r="681">
      <c r="AD681" s="48"/>
    </row>
    <row r="682">
      <c r="AD682" s="48"/>
    </row>
    <row r="683">
      <c r="AD683" s="48"/>
    </row>
    <row r="684">
      <c r="AD684" s="48"/>
    </row>
    <row r="685">
      <c r="AD685" s="48"/>
    </row>
    <row r="686">
      <c r="AD686" s="48"/>
    </row>
    <row r="687">
      <c r="AD687" s="48"/>
    </row>
    <row r="688">
      <c r="AD688" s="48"/>
    </row>
    <row r="689">
      <c r="AD689" s="48"/>
    </row>
    <row r="690">
      <c r="AD690" s="48"/>
    </row>
    <row r="691">
      <c r="AD691" s="48"/>
    </row>
    <row r="692">
      <c r="AD692" s="48"/>
    </row>
    <row r="693">
      <c r="AD693" s="48"/>
    </row>
    <row r="694">
      <c r="AD694" s="48"/>
    </row>
    <row r="695">
      <c r="AD695" s="48"/>
    </row>
    <row r="696">
      <c r="AD696" s="48"/>
    </row>
    <row r="697">
      <c r="AD697" s="48"/>
    </row>
    <row r="698">
      <c r="AD698" s="48"/>
    </row>
    <row r="699">
      <c r="AD699" s="48"/>
    </row>
    <row r="700">
      <c r="AD700" s="48"/>
    </row>
    <row r="701">
      <c r="AD701" s="48"/>
    </row>
    <row r="702">
      <c r="AD702" s="48"/>
    </row>
    <row r="703">
      <c r="AD703" s="48"/>
    </row>
    <row r="704">
      <c r="AD704" s="48"/>
    </row>
    <row r="705">
      <c r="AD705" s="48"/>
    </row>
    <row r="706">
      <c r="AD706" s="48"/>
    </row>
    <row r="707">
      <c r="AD707" s="48"/>
    </row>
    <row r="708">
      <c r="AD708" s="48"/>
    </row>
    <row r="709">
      <c r="AD709" s="48"/>
    </row>
    <row r="710">
      <c r="AD710" s="48"/>
    </row>
    <row r="711">
      <c r="AD711" s="48"/>
    </row>
    <row r="712">
      <c r="AD712" s="48"/>
    </row>
    <row r="713">
      <c r="AD713" s="48"/>
    </row>
    <row r="714">
      <c r="AD714" s="48"/>
    </row>
    <row r="715">
      <c r="AD715" s="48"/>
    </row>
    <row r="716">
      <c r="AD716" s="48"/>
    </row>
    <row r="717">
      <c r="AD717" s="48"/>
    </row>
    <row r="718">
      <c r="AD718" s="48"/>
    </row>
    <row r="719">
      <c r="AD719" s="48"/>
    </row>
    <row r="720">
      <c r="AD720" s="48"/>
    </row>
    <row r="721">
      <c r="AD721" s="48"/>
    </row>
    <row r="722">
      <c r="AD722" s="48"/>
    </row>
    <row r="723">
      <c r="AD723" s="48"/>
    </row>
    <row r="724">
      <c r="AD724" s="48"/>
    </row>
    <row r="725">
      <c r="AD725" s="48"/>
    </row>
    <row r="726">
      <c r="AD726" s="48"/>
    </row>
    <row r="727">
      <c r="AD727" s="48"/>
    </row>
    <row r="728">
      <c r="AD728" s="48"/>
    </row>
    <row r="729">
      <c r="AD729" s="48"/>
    </row>
    <row r="730">
      <c r="AD730" s="48"/>
    </row>
    <row r="731">
      <c r="AD731" s="48"/>
    </row>
    <row r="732">
      <c r="AD732" s="48"/>
    </row>
    <row r="733">
      <c r="AD733" s="48"/>
    </row>
    <row r="734">
      <c r="AD734" s="48"/>
    </row>
    <row r="735">
      <c r="AD735" s="48"/>
    </row>
    <row r="736">
      <c r="AD736" s="48"/>
    </row>
    <row r="737">
      <c r="AD737" s="48"/>
    </row>
    <row r="738">
      <c r="AD738" s="48"/>
    </row>
    <row r="739">
      <c r="AD739" s="48"/>
    </row>
    <row r="740">
      <c r="AD740" s="48"/>
    </row>
    <row r="741">
      <c r="AD741" s="48"/>
    </row>
    <row r="742">
      <c r="AD742" s="48"/>
    </row>
    <row r="743">
      <c r="AD743" s="48"/>
    </row>
    <row r="744">
      <c r="AD744" s="48"/>
    </row>
    <row r="745">
      <c r="AD745" s="48"/>
    </row>
    <row r="746">
      <c r="AD746" s="48"/>
    </row>
    <row r="747">
      <c r="AD747" s="48"/>
    </row>
    <row r="748">
      <c r="AD748" s="48"/>
    </row>
    <row r="749">
      <c r="AD749" s="48"/>
    </row>
    <row r="750">
      <c r="AD750" s="48"/>
    </row>
    <row r="751">
      <c r="AD751" s="48"/>
    </row>
    <row r="752">
      <c r="AD752" s="48"/>
    </row>
    <row r="753">
      <c r="AD753" s="48"/>
    </row>
    <row r="754">
      <c r="AD754" s="48"/>
    </row>
    <row r="755">
      <c r="AD755" s="48"/>
    </row>
    <row r="756">
      <c r="AD756" s="48"/>
    </row>
    <row r="757">
      <c r="AD757" s="48"/>
    </row>
    <row r="758">
      <c r="AD758" s="48"/>
    </row>
    <row r="759">
      <c r="AD759" s="48"/>
    </row>
    <row r="760">
      <c r="AD760" s="48"/>
    </row>
    <row r="761">
      <c r="AD761" s="48"/>
    </row>
    <row r="762">
      <c r="AD762" s="48"/>
    </row>
    <row r="763">
      <c r="AD763" s="48"/>
    </row>
    <row r="764">
      <c r="AD764" s="48"/>
    </row>
    <row r="765">
      <c r="AD765" s="48"/>
    </row>
    <row r="766">
      <c r="AD766" s="48"/>
    </row>
    <row r="767">
      <c r="AD767" s="48"/>
    </row>
    <row r="768">
      <c r="AD768" s="48"/>
    </row>
    <row r="769">
      <c r="AD769" s="48"/>
    </row>
    <row r="770">
      <c r="AD770" s="48"/>
    </row>
    <row r="771">
      <c r="AD771" s="48"/>
    </row>
    <row r="772">
      <c r="AD772" s="48"/>
    </row>
    <row r="773">
      <c r="AD773" s="48"/>
    </row>
    <row r="774">
      <c r="AD774" s="48"/>
    </row>
    <row r="775">
      <c r="AD775" s="48"/>
    </row>
    <row r="776">
      <c r="AD776" s="48"/>
    </row>
    <row r="777">
      <c r="AD777" s="48"/>
    </row>
    <row r="778">
      <c r="AD778" s="48"/>
    </row>
    <row r="779">
      <c r="AD779" s="48"/>
    </row>
    <row r="780">
      <c r="AD780" s="48"/>
    </row>
    <row r="781">
      <c r="AD781" s="48"/>
    </row>
    <row r="782">
      <c r="AD782" s="48"/>
    </row>
    <row r="783">
      <c r="AD783" s="48"/>
    </row>
    <row r="784">
      <c r="AD784" s="48"/>
    </row>
    <row r="785">
      <c r="AD785" s="48"/>
    </row>
    <row r="786">
      <c r="AD786" s="48"/>
    </row>
    <row r="787">
      <c r="AD787" s="48"/>
    </row>
    <row r="788">
      <c r="AD788" s="48"/>
    </row>
    <row r="789">
      <c r="AD789" s="48"/>
    </row>
    <row r="790">
      <c r="AD790" s="48"/>
    </row>
    <row r="791">
      <c r="AD791" s="48"/>
    </row>
    <row r="792">
      <c r="AD792" s="48"/>
    </row>
    <row r="793">
      <c r="AD793" s="48"/>
    </row>
    <row r="794">
      <c r="AD794" s="48"/>
    </row>
    <row r="795">
      <c r="AD795" s="48"/>
    </row>
    <row r="796">
      <c r="AD796" s="48"/>
    </row>
    <row r="797">
      <c r="AD797" s="48"/>
    </row>
    <row r="798">
      <c r="AD798" s="48"/>
    </row>
    <row r="799">
      <c r="AD799" s="48"/>
    </row>
    <row r="800">
      <c r="AD800" s="48"/>
    </row>
    <row r="801">
      <c r="AD801" s="48"/>
    </row>
    <row r="802">
      <c r="AD802" s="48"/>
    </row>
    <row r="803">
      <c r="AD803" s="48"/>
    </row>
    <row r="804">
      <c r="AD804" s="48"/>
    </row>
    <row r="805">
      <c r="AD805" s="48"/>
    </row>
    <row r="806">
      <c r="AD806" s="48"/>
    </row>
    <row r="807">
      <c r="AD807" s="48"/>
    </row>
    <row r="808">
      <c r="AD808" s="48"/>
    </row>
    <row r="809">
      <c r="AD809" s="48"/>
    </row>
    <row r="810">
      <c r="AD810" s="48"/>
    </row>
    <row r="811">
      <c r="AD811" s="48"/>
    </row>
    <row r="812">
      <c r="AD812" s="48"/>
    </row>
    <row r="813">
      <c r="AD813" s="48"/>
    </row>
    <row r="814">
      <c r="AD814" s="48"/>
    </row>
    <row r="815">
      <c r="AD815" s="48"/>
    </row>
    <row r="816">
      <c r="AD816" s="48"/>
    </row>
    <row r="817">
      <c r="AD817" s="48"/>
    </row>
    <row r="818">
      <c r="AD818" s="48"/>
    </row>
    <row r="819">
      <c r="AD819" s="48"/>
    </row>
    <row r="820">
      <c r="AD820" s="48"/>
    </row>
    <row r="821">
      <c r="AD821" s="48"/>
    </row>
    <row r="822">
      <c r="AD822" s="48"/>
    </row>
    <row r="823">
      <c r="AD823" s="48"/>
    </row>
    <row r="824">
      <c r="AD824" s="48"/>
    </row>
    <row r="825">
      <c r="AD825" s="48"/>
    </row>
    <row r="826">
      <c r="AD826" s="48"/>
    </row>
    <row r="827">
      <c r="AD827" s="48"/>
    </row>
    <row r="828">
      <c r="AD828" s="48"/>
    </row>
    <row r="829">
      <c r="AD829" s="48"/>
    </row>
    <row r="830">
      <c r="AD830" s="48"/>
    </row>
    <row r="831">
      <c r="AD831" s="48"/>
    </row>
    <row r="832">
      <c r="AD832" s="48"/>
    </row>
    <row r="833">
      <c r="AD833" s="48"/>
    </row>
    <row r="834">
      <c r="AD834" s="48"/>
    </row>
    <row r="835">
      <c r="AD835" s="48"/>
    </row>
    <row r="836">
      <c r="AD836" s="48"/>
    </row>
    <row r="837">
      <c r="AD837" s="48"/>
    </row>
    <row r="838">
      <c r="AD838" s="48"/>
    </row>
    <row r="839">
      <c r="AD839" s="48"/>
    </row>
    <row r="840">
      <c r="AD840" s="48"/>
    </row>
    <row r="841">
      <c r="AD841" s="48"/>
    </row>
    <row r="842">
      <c r="AD842" s="48"/>
    </row>
    <row r="843">
      <c r="AD843" s="48"/>
    </row>
    <row r="844">
      <c r="AD844" s="48"/>
    </row>
    <row r="845">
      <c r="AD845" s="48"/>
    </row>
    <row r="846">
      <c r="AD846" s="48"/>
    </row>
    <row r="847">
      <c r="AD847" s="48"/>
    </row>
    <row r="848">
      <c r="AD848" s="48"/>
    </row>
    <row r="849">
      <c r="AD849" s="48"/>
    </row>
    <row r="850">
      <c r="AD850" s="48"/>
    </row>
    <row r="851">
      <c r="AD851" s="48"/>
    </row>
    <row r="852">
      <c r="AD852" s="48"/>
    </row>
    <row r="853">
      <c r="AD853" s="48"/>
    </row>
    <row r="854">
      <c r="AD854" s="48"/>
    </row>
    <row r="855">
      <c r="AD855" s="48"/>
    </row>
    <row r="856">
      <c r="AD856" s="48"/>
    </row>
    <row r="857">
      <c r="AD857" s="48"/>
    </row>
    <row r="858">
      <c r="AD858" s="48"/>
    </row>
    <row r="859">
      <c r="AD859" s="48"/>
    </row>
    <row r="860">
      <c r="AD860" s="48"/>
    </row>
    <row r="861">
      <c r="AD861" s="48"/>
    </row>
    <row r="862">
      <c r="AD862" s="48"/>
    </row>
    <row r="863">
      <c r="AD863" s="48"/>
    </row>
    <row r="864">
      <c r="AD864" s="48"/>
    </row>
    <row r="865">
      <c r="AD865" s="48"/>
    </row>
    <row r="866">
      <c r="AD866" s="48"/>
    </row>
    <row r="867">
      <c r="AD867" s="48"/>
    </row>
    <row r="868">
      <c r="AD868" s="48"/>
    </row>
    <row r="869">
      <c r="AD869" s="48"/>
    </row>
    <row r="870">
      <c r="AD870" s="48"/>
    </row>
    <row r="871">
      <c r="AD871" s="48"/>
    </row>
    <row r="872">
      <c r="AD872" s="48"/>
    </row>
    <row r="873">
      <c r="AD873" s="48"/>
    </row>
    <row r="874">
      <c r="AD874" s="48"/>
    </row>
    <row r="875">
      <c r="AD875" s="48"/>
    </row>
    <row r="876">
      <c r="AD876" s="48"/>
    </row>
    <row r="877">
      <c r="AD877" s="48"/>
    </row>
    <row r="878">
      <c r="AD878" s="48"/>
    </row>
    <row r="879">
      <c r="AD879" s="48"/>
    </row>
    <row r="880">
      <c r="AD880" s="48"/>
    </row>
    <row r="881">
      <c r="AD881" s="48"/>
    </row>
    <row r="882">
      <c r="AD882" s="48"/>
    </row>
    <row r="883">
      <c r="AD883" s="48"/>
    </row>
    <row r="884">
      <c r="AD884" s="48"/>
    </row>
    <row r="885">
      <c r="AD885" s="48"/>
    </row>
    <row r="886">
      <c r="AD886" s="48"/>
    </row>
    <row r="887">
      <c r="AD887" s="48"/>
    </row>
    <row r="888">
      <c r="AD888" s="48"/>
    </row>
    <row r="889">
      <c r="AD889" s="48"/>
    </row>
    <row r="890">
      <c r="AD890" s="48"/>
    </row>
    <row r="891">
      <c r="AD891" s="48"/>
    </row>
    <row r="892">
      <c r="AD892" s="48"/>
    </row>
    <row r="893">
      <c r="AD893" s="48"/>
    </row>
    <row r="894">
      <c r="AD894" s="48"/>
    </row>
    <row r="895">
      <c r="AD895" s="48"/>
    </row>
    <row r="896">
      <c r="AD896" s="48"/>
    </row>
    <row r="897">
      <c r="AD897" s="48"/>
    </row>
    <row r="898">
      <c r="AD898" s="48"/>
    </row>
    <row r="899">
      <c r="AD899" s="48"/>
    </row>
    <row r="900">
      <c r="AD900" s="48"/>
    </row>
    <row r="901">
      <c r="AD901" s="48"/>
    </row>
    <row r="902">
      <c r="AD902" s="48"/>
    </row>
    <row r="903">
      <c r="AD903" s="48"/>
    </row>
    <row r="904">
      <c r="AD904" s="48"/>
    </row>
    <row r="905">
      <c r="AD905" s="48"/>
    </row>
    <row r="906">
      <c r="AD906" s="48"/>
    </row>
    <row r="907">
      <c r="AD907" s="48"/>
    </row>
    <row r="908">
      <c r="AD908" s="48"/>
    </row>
    <row r="909">
      <c r="AD909" s="48"/>
    </row>
    <row r="910">
      <c r="AD910" s="48"/>
    </row>
    <row r="911">
      <c r="AD911" s="48"/>
    </row>
    <row r="912">
      <c r="AD912" s="48"/>
    </row>
    <row r="913">
      <c r="AD913" s="48"/>
    </row>
    <row r="914">
      <c r="AD914" s="48"/>
    </row>
    <row r="915">
      <c r="AD915" s="48"/>
    </row>
    <row r="916">
      <c r="AD916" s="48"/>
    </row>
    <row r="917">
      <c r="AD917" s="48"/>
    </row>
    <row r="918">
      <c r="AD918" s="48"/>
    </row>
    <row r="919">
      <c r="AD919" s="48"/>
    </row>
    <row r="920">
      <c r="AD920" s="48"/>
    </row>
    <row r="921">
      <c r="AD921" s="48"/>
    </row>
    <row r="922">
      <c r="AD922" s="48"/>
    </row>
    <row r="923">
      <c r="AD923" s="48"/>
    </row>
    <row r="924">
      <c r="AD924" s="48"/>
    </row>
    <row r="925">
      <c r="AD925" s="48"/>
    </row>
    <row r="926">
      <c r="AD926" s="48"/>
    </row>
    <row r="927">
      <c r="AD927" s="48"/>
    </row>
    <row r="928">
      <c r="AD928" s="48"/>
    </row>
    <row r="929">
      <c r="AD929" s="48"/>
    </row>
    <row r="930">
      <c r="AD930" s="48"/>
    </row>
    <row r="931">
      <c r="AD931" s="48"/>
    </row>
    <row r="932">
      <c r="AD932" s="48"/>
    </row>
    <row r="933">
      <c r="AD933" s="48"/>
    </row>
    <row r="934">
      <c r="AD934" s="48"/>
    </row>
    <row r="935">
      <c r="AD935" s="48"/>
    </row>
    <row r="936">
      <c r="AD936" s="48"/>
    </row>
    <row r="937">
      <c r="AD937" s="48"/>
    </row>
    <row r="938">
      <c r="AD938" s="48"/>
    </row>
    <row r="939">
      <c r="AD939" s="48"/>
    </row>
    <row r="940">
      <c r="AD940" s="48"/>
    </row>
    <row r="941">
      <c r="AD941" s="48"/>
    </row>
    <row r="942">
      <c r="AD942" s="48"/>
    </row>
    <row r="943">
      <c r="AD943" s="48"/>
    </row>
    <row r="944">
      <c r="AD944" s="48"/>
    </row>
    <row r="945">
      <c r="AD945" s="48"/>
    </row>
    <row r="946">
      <c r="AD946" s="48"/>
    </row>
    <row r="947">
      <c r="AD947" s="48"/>
    </row>
    <row r="948">
      <c r="AD948" s="48"/>
    </row>
    <row r="949">
      <c r="AD949" s="48"/>
    </row>
    <row r="950">
      <c r="AD950" s="48"/>
    </row>
    <row r="951">
      <c r="AD951" s="48"/>
    </row>
    <row r="952">
      <c r="AD952" s="48"/>
    </row>
    <row r="953">
      <c r="AD953" s="48"/>
    </row>
    <row r="954">
      <c r="AD954" s="48"/>
    </row>
    <row r="955">
      <c r="AD955" s="48"/>
    </row>
    <row r="956">
      <c r="AD956" s="48"/>
    </row>
    <row r="957">
      <c r="AD957" s="48"/>
    </row>
    <row r="958">
      <c r="AD958" s="48"/>
    </row>
    <row r="959">
      <c r="AD959" s="48"/>
    </row>
    <row r="960">
      <c r="AD960" s="48"/>
    </row>
    <row r="961">
      <c r="AD961" s="48"/>
    </row>
    <row r="962">
      <c r="AD962" s="48"/>
    </row>
    <row r="963">
      <c r="AD963" s="48"/>
    </row>
    <row r="964">
      <c r="AD964" s="48"/>
    </row>
    <row r="965">
      <c r="AD965" s="48"/>
    </row>
    <row r="966">
      <c r="AD966" s="48"/>
    </row>
    <row r="967">
      <c r="AD967" s="48"/>
    </row>
    <row r="968">
      <c r="AD968" s="48"/>
    </row>
    <row r="969">
      <c r="AD969" s="48"/>
    </row>
    <row r="970">
      <c r="AD970" s="48"/>
    </row>
    <row r="971">
      <c r="AD971" s="48"/>
    </row>
    <row r="972">
      <c r="AD972" s="48"/>
    </row>
    <row r="973">
      <c r="AD973" s="48"/>
    </row>
    <row r="974">
      <c r="AD974" s="48"/>
    </row>
    <row r="975">
      <c r="AD975" s="48"/>
    </row>
    <row r="976">
      <c r="AD976" s="48"/>
    </row>
    <row r="977">
      <c r="AD977" s="48"/>
    </row>
  </sheetData>
  <dataValidations>
    <dataValidation type="list" allowBlank="1" showErrorMessage="1" sqref="T2:T67">
      <formula1>"Work Not Started Yet,Measrument Done,Material &amp; Team Reached,Structure Work,Panel,Inverter pending,Project On Hold,I&amp;C Completed"</formula1>
    </dataValidation>
    <dataValidation type="list" allowBlank="1" showErrorMessage="1" sqref="Q2:Q67">
      <formula1>"Doc Recieved,File login,COMPLET"</formula1>
    </dataValidation>
    <dataValidation type="list" allowBlank="1" showErrorMessage="1" sqref="S2:S67">
      <formula1>"Loan apply,File prepare,File into bank,Loan approved,Loan Rejected,CASH FILE"</formula1>
    </dataValidation>
    <dataValidation type="list" allowBlank="1" showErrorMessage="1" sqref="U2:U67">
      <formula1>"Pending,Meter &amp; File submit DISCOM,Net Metering,Subsidy apply with site photo,Subsidy granted"</formula1>
    </dataValidation>
    <dataValidation type="list" allowBlank="1" showErrorMessage="1" sqref="V2:V67 V75">
      <formula1>"Cash To Mahi,1st Installment Received,2ns Installment Received,Payment Not Received Yet,Payment Due"</formula1>
    </dataValidation>
    <dataValidation type="list" allowBlank="1" showErrorMessage="1" sqref="R2:R67">
      <formula1>"Center (78K),Both (78 + 17),WITH OUT SUBSIDY"</formula1>
    </dataValidation>
  </dataValidations>
  <hyperlinks>
    <hyperlink r:id="rId1" ref="I1"/>
    <hyperlink r:id="rId2" ref="K25"/>
    <hyperlink r:id="rId3" ref="K26"/>
    <hyperlink r:id="rId4" ref="L29"/>
    <hyperlink r:id="rId5" ref="L34"/>
    <hyperlink r:id="rId6" ref="K36"/>
    <hyperlink r:id="rId7" ref="L38"/>
    <hyperlink r:id="rId8" ref="L45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.88"/>
    <col customWidth="1" min="2" max="2" width="27.13"/>
    <col customWidth="1" min="3" max="3" width="39.0"/>
    <col customWidth="1" min="4" max="4" width="6.5"/>
    <col customWidth="1" min="5" max="5" width="4.25"/>
    <col customWidth="1" min="6" max="6" width="12.5"/>
    <col customWidth="1" min="7" max="7" width="14.63"/>
    <col customWidth="1" min="8" max="8" width="14.38"/>
    <col customWidth="1" min="9" max="9" width="12.13"/>
    <col customWidth="1" min="10" max="10" width="10.25"/>
    <col customWidth="1" min="11" max="11" width="30.63"/>
    <col customWidth="1" min="12" max="12" width="21.5"/>
    <col customWidth="1" min="13" max="13" width="16.75"/>
    <col customWidth="1" min="14" max="14" width="20.0"/>
    <col customWidth="1" min="15" max="15" width="13.25"/>
    <col customWidth="1" min="16" max="17" width="6.5"/>
    <col customWidth="1" min="18" max="18" width="16.0"/>
    <col customWidth="1" min="19" max="19" width="16.5"/>
    <col customWidth="1" min="20" max="20" width="17.0"/>
    <col customWidth="1" min="21" max="21" width="21.5"/>
    <col customWidth="1" min="22" max="22" width="27.38"/>
    <col customWidth="1" min="23" max="23" width="25.75"/>
    <col customWidth="1" min="24" max="24" width="16.13"/>
    <col customWidth="1" min="25" max="25" width="16.38"/>
    <col customWidth="1" min="26" max="26" width="12.5"/>
    <col customWidth="1" min="27" max="27" width="22.0"/>
    <col customWidth="1" min="28" max="28" width="21.5"/>
    <col customWidth="1" min="29" max="29" width="9.75"/>
    <col customWidth="1" min="30" max="30" width="16.5"/>
    <col customWidth="1" min="31" max="31" width="15.13"/>
    <col customWidth="1" min="32" max="32" width="23.13"/>
    <col customWidth="1" min="33" max="33" width="21.13"/>
  </cols>
  <sheetData>
    <row r="1">
      <c r="A1" s="1" t="s">
        <v>1</v>
      </c>
      <c r="B1" s="4" t="s">
        <v>3</v>
      </c>
      <c r="C1" s="4" t="s">
        <v>4</v>
      </c>
      <c r="D1" s="4" t="s">
        <v>5</v>
      </c>
      <c r="E1" s="3" t="s">
        <v>6</v>
      </c>
      <c r="F1" s="3" t="s">
        <v>7</v>
      </c>
      <c r="G1" s="4" t="s">
        <v>8</v>
      </c>
      <c r="H1" s="4" t="s">
        <v>10</v>
      </c>
      <c r="I1" s="5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4" t="s">
        <v>18</v>
      </c>
      <c r="Q1" s="3" t="s">
        <v>19</v>
      </c>
      <c r="R1" s="6" t="s">
        <v>20</v>
      </c>
      <c r="S1" s="7" t="s">
        <v>21</v>
      </c>
      <c r="T1" s="7" t="s">
        <v>22</v>
      </c>
      <c r="U1" s="7" t="s">
        <v>24</v>
      </c>
      <c r="V1" s="6" t="s">
        <v>25</v>
      </c>
      <c r="W1" s="7" t="s">
        <v>27</v>
      </c>
      <c r="X1" s="8" t="s">
        <v>29</v>
      </c>
      <c r="Y1" s="8" t="s">
        <v>30</v>
      </c>
      <c r="Z1" s="9" t="s">
        <v>31</v>
      </c>
      <c r="AA1" s="9" t="s">
        <v>32</v>
      </c>
      <c r="AB1" s="9" t="s">
        <v>33</v>
      </c>
      <c r="AC1" s="9" t="s">
        <v>34</v>
      </c>
      <c r="AD1" s="11" t="s">
        <v>35</v>
      </c>
      <c r="AE1" s="9" t="s">
        <v>36</v>
      </c>
      <c r="AF1" s="9" t="s">
        <v>37</v>
      </c>
      <c r="AG1" s="12" t="s">
        <v>38</v>
      </c>
      <c r="AH1" s="14"/>
      <c r="AI1" s="14"/>
      <c r="AJ1" s="14"/>
      <c r="AK1" s="14"/>
      <c r="AL1" s="14"/>
      <c r="AM1" s="1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>
      <c r="A2" s="21">
        <v>1.0</v>
      </c>
      <c r="B2" s="20" t="s">
        <v>47</v>
      </c>
      <c r="C2" s="23" t="s">
        <v>48</v>
      </c>
      <c r="D2" s="23" t="s">
        <v>43</v>
      </c>
      <c r="E2" s="20" t="s">
        <v>44</v>
      </c>
      <c r="F2" s="23"/>
      <c r="G2" s="23" t="s">
        <v>50</v>
      </c>
      <c r="H2" s="23" t="s">
        <v>50</v>
      </c>
      <c r="I2" s="22">
        <v>2.11529035324E11</v>
      </c>
      <c r="J2" s="22">
        <v>9.887110287E9</v>
      </c>
      <c r="K2" s="23" t="s">
        <v>57</v>
      </c>
      <c r="L2" s="23"/>
      <c r="M2" s="22">
        <v>200000.0</v>
      </c>
      <c r="N2" s="22">
        <v>180000.0</v>
      </c>
      <c r="O2" s="22">
        <v>180000.0</v>
      </c>
      <c r="P2" s="20">
        <v>180000.0</v>
      </c>
      <c r="Q2" s="20">
        <f t="shared" ref="Q2:Q38" si="1">N2-P2</f>
        <v>0</v>
      </c>
      <c r="R2" s="19" t="s">
        <v>28</v>
      </c>
      <c r="S2" s="19" t="s">
        <v>69</v>
      </c>
      <c r="T2" s="18" t="s">
        <v>73</v>
      </c>
      <c r="U2" s="29" t="s">
        <v>68</v>
      </c>
      <c r="V2" s="23" t="s">
        <v>70</v>
      </c>
      <c r="W2" s="20" t="s">
        <v>72</v>
      </c>
      <c r="X2" s="23"/>
      <c r="Y2" s="23"/>
      <c r="Z2" s="23"/>
      <c r="AA2" s="23"/>
      <c r="AB2" s="23">
        <f t="shared" ref="AB2:AB36" si="2">Q2-Z2-AA2</f>
        <v>0</v>
      </c>
      <c r="AC2" s="23">
        <f t="shared" ref="AC2:AC36" si="3">P2-X2-Y2</f>
        <v>180000</v>
      </c>
      <c r="AD2" s="23">
        <f t="shared" ref="AD2:AD36" si="4">AE2-AC2</f>
        <v>0</v>
      </c>
      <c r="AE2" s="23">
        <f t="shared" ref="AE2:AE37" si="5">O2-(X2+Y2+Z2)</f>
        <v>180000</v>
      </c>
      <c r="AF2" s="23">
        <f t="shared" ref="AF2:AF31" si="6">X2+Y2+Z2+AA2</f>
        <v>0</v>
      </c>
      <c r="AG2" s="37"/>
      <c r="AH2" s="37"/>
      <c r="AI2" s="37"/>
      <c r="AJ2" s="37"/>
      <c r="AK2" s="37"/>
      <c r="AL2" s="37"/>
      <c r="AM2" s="37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</row>
    <row r="3">
      <c r="A3" s="24">
        <v>2.0</v>
      </c>
      <c r="B3" s="20" t="s">
        <v>47</v>
      </c>
      <c r="C3" s="23" t="s">
        <v>89</v>
      </c>
      <c r="D3" s="23" t="s">
        <v>43</v>
      </c>
      <c r="E3" s="20" t="s">
        <v>44</v>
      </c>
      <c r="F3" s="23"/>
      <c r="G3" s="23" t="s">
        <v>91</v>
      </c>
      <c r="H3" s="23" t="s">
        <v>93</v>
      </c>
      <c r="I3" s="22">
        <v>2.11541008105E11</v>
      </c>
      <c r="J3" s="25">
        <v>7.073082353E9</v>
      </c>
      <c r="K3" s="23" t="s">
        <v>95</v>
      </c>
      <c r="L3" s="23" t="s">
        <v>97</v>
      </c>
      <c r="M3" s="22">
        <v>200000.0</v>
      </c>
      <c r="N3" s="22">
        <v>180000.0</v>
      </c>
      <c r="O3" s="22">
        <v>180000.0</v>
      </c>
      <c r="P3" s="23"/>
      <c r="Q3" s="20">
        <f t="shared" si="1"/>
        <v>180000</v>
      </c>
      <c r="R3" s="19" t="s">
        <v>28</v>
      </c>
      <c r="S3" s="19" t="s">
        <v>65</v>
      </c>
      <c r="T3" s="19" t="s">
        <v>71</v>
      </c>
      <c r="U3" s="29" t="s">
        <v>68</v>
      </c>
      <c r="V3" s="23" t="s">
        <v>70</v>
      </c>
      <c r="W3" s="20" t="s">
        <v>72</v>
      </c>
      <c r="X3" s="20"/>
      <c r="Y3" s="20"/>
      <c r="Z3" s="20"/>
      <c r="AA3" s="22"/>
      <c r="AB3" s="23">
        <f t="shared" si="2"/>
        <v>180000</v>
      </c>
      <c r="AC3" s="23">
        <f t="shared" si="3"/>
        <v>0</v>
      </c>
      <c r="AD3" s="23">
        <f t="shared" si="4"/>
        <v>180000</v>
      </c>
      <c r="AE3" s="23">
        <f t="shared" si="5"/>
        <v>180000</v>
      </c>
      <c r="AF3" s="23">
        <f t="shared" si="6"/>
        <v>0</v>
      </c>
      <c r="AG3" s="37"/>
      <c r="AH3" s="37"/>
      <c r="AI3" s="37"/>
      <c r="AJ3" s="37"/>
      <c r="AK3" s="37"/>
      <c r="AL3" s="37"/>
      <c r="AM3" s="37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8"/>
    </row>
    <row r="4">
      <c r="A4" s="24">
        <v>3.0</v>
      </c>
      <c r="B4" s="27" t="s">
        <v>41</v>
      </c>
      <c r="C4" s="27" t="s">
        <v>113</v>
      </c>
      <c r="D4" s="27" t="s">
        <v>43</v>
      </c>
      <c r="E4" s="27" t="s">
        <v>44</v>
      </c>
      <c r="F4" s="27"/>
      <c r="G4" s="27" t="s">
        <v>114</v>
      </c>
      <c r="H4" s="27" t="s">
        <v>114</v>
      </c>
      <c r="I4" s="27">
        <v>2.11529013655E11</v>
      </c>
      <c r="J4" s="27">
        <v>8.208276421E9</v>
      </c>
      <c r="K4" s="27" t="s">
        <v>115</v>
      </c>
      <c r="L4" s="27" t="s">
        <v>116</v>
      </c>
      <c r="M4" s="27">
        <v>200000.0</v>
      </c>
      <c r="N4" s="27">
        <v>190000.0</v>
      </c>
      <c r="O4" s="27">
        <v>190000.0</v>
      </c>
      <c r="P4" s="27">
        <v>180000.0</v>
      </c>
      <c r="Q4" s="20">
        <f t="shared" si="1"/>
        <v>10000</v>
      </c>
      <c r="R4" s="19" t="s">
        <v>28</v>
      </c>
      <c r="S4" s="18" t="s">
        <v>65</v>
      </c>
      <c r="T4" s="19" t="s">
        <v>73</v>
      </c>
      <c r="U4" s="29" t="s">
        <v>68</v>
      </c>
      <c r="V4" s="23" t="s">
        <v>70</v>
      </c>
      <c r="W4" s="20" t="s">
        <v>72</v>
      </c>
      <c r="X4" s="28"/>
      <c r="Y4" s="28"/>
      <c r="Z4" s="28"/>
      <c r="AA4" s="28"/>
      <c r="AB4" s="23">
        <f t="shared" si="2"/>
        <v>10000</v>
      </c>
      <c r="AC4" s="23">
        <f t="shared" si="3"/>
        <v>180000</v>
      </c>
      <c r="AD4" s="23">
        <f t="shared" si="4"/>
        <v>10000</v>
      </c>
      <c r="AE4" s="23">
        <f t="shared" si="5"/>
        <v>190000</v>
      </c>
      <c r="AF4" s="23">
        <f t="shared" si="6"/>
        <v>0</v>
      </c>
      <c r="AG4" s="45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>
      <c r="A5" s="24">
        <v>4.0</v>
      </c>
      <c r="B5" s="27" t="s">
        <v>129</v>
      </c>
      <c r="C5" s="27" t="s">
        <v>131</v>
      </c>
      <c r="D5" s="27" t="s">
        <v>43</v>
      </c>
      <c r="E5" s="27" t="s">
        <v>44</v>
      </c>
      <c r="F5" s="27"/>
      <c r="G5" s="27" t="s">
        <v>134</v>
      </c>
      <c r="H5" s="27" t="s">
        <v>135</v>
      </c>
      <c r="I5" s="28"/>
      <c r="J5" s="27">
        <v>9.829636341E9</v>
      </c>
      <c r="K5" s="28"/>
      <c r="L5" s="28"/>
      <c r="M5" s="27">
        <v>190000.0</v>
      </c>
      <c r="N5" s="27">
        <v>190000.0</v>
      </c>
      <c r="O5" s="28"/>
      <c r="P5" s="28"/>
      <c r="Q5" s="20">
        <f t="shared" si="1"/>
        <v>190000</v>
      </c>
      <c r="R5" s="19" t="s">
        <v>28</v>
      </c>
      <c r="S5" s="19" t="s">
        <v>69</v>
      </c>
      <c r="T5" s="18" t="s">
        <v>71</v>
      </c>
      <c r="U5" s="29" t="s">
        <v>68</v>
      </c>
      <c r="V5" s="23" t="s">
        <v>70</v>
      </c>
      <c r="W5" s="20" t="s">
        <v>72</v>
      </c>
      <c r="X5" s="28"/>
      <c r="Y5" s="28"/>
      <c r="Z5" s="28"/>
      <c r="AA5" s="28"/>
      <c r="AB5" s="23">
        <f t="shared" si="2"/>
        <v>190000</v>
      </c>
      <c r="AC5" s="23">
        <f t="shared" si="3"/>
        <v>0</v>
      </c>
      <c r="AD5" s="23">
        <f t="shared" si="4"/>
        <v>0</v>
      </c>
      <c r="AE5" s="23">
        <f t="shared" si="5"/>
        <v>0</v>
      </c>
      <c r="AF5" s="23">
        <f t="shared" si="6"/>
        <v>0</v>
      </c>
      <c r="AG5" s="45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>
      <c r="A6" s="21">
        <v>5.0</v>
      </c>
      <c r="B6" s="28"/>
      <c r="C6" s="27" t="s">
        <v>148</v>
      </c>
      <c r="D6" s="28"/>
      <c r="E6" s="28"/>
      <c r="F6" s="28"/>
      <c r="G6" s="28"/>
      <c r="H6" s="28"/>
      <c r="I6" s="28"/>
      <c r="J6" s="27">
        <v>8.397838308E9</v>
      </c>
      <c r="K6" s="28"/>
      <c r="L6" s="28"/>
      <c r="M6" s="28"/>
      <c r="N6" s="28"/>
      <c r="O6" s="28"/>
      <c r="P6" s="28"/>
      <c r="Q6" s="20">
        <f t="shared" si="1"/>
        <v>0</v>
      </c>
      <c r="R6" s="18" t="s">
        <v>66</v>
      </c>
      <c r="S6" s="19" t="s">
        <v>69</v>
      </c>
      <c r="T6" s="18" t="s">
        <v>71</v>
      </c>
      <c r="U6" s="29" t="s">
        <v>68</v>
      </c>
      <c r="V6" s="23" t="s">
        <v>70</v>
      </c>
      <c r="W6" s="20" t="s">
        <v>72</v>
      </c>
      <c r="X6" s="28"/>
      <c r="Y6" s="28"/>
      <c r="Z6" s="28"/>
      <c r="AA6" s="28"/>
      <c r="AB6" s="23">
        <f t="shared" si="2"/>
        <v>0</v>
      </c>
      <c r="AC6" s="23">
        <f t="shared" si="3"/>
        <v>0</v>
      </c>
      <c r="AD6" s="23">
        <f t="shared" si="4"/>
        <v>0</v>
      </c>
      <c r="AE6" s="23">
        <f t="shared" si="5"/>
        <v>0</v>
      </c>
      <c r="AF6" s="23">
        <f t="shared" si="6"/>
        <v>0</v>
      </c>
      <c r="AG6" s="45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>
      <c r="A7" s="24">
        <v>6.0</v>
      </c>
      <c r="B7" s="27" t="s">
        <v>160</v>
      </c>
      <c r="C7" s="27" t="s">
        <v>161</v>
      </c>
      <c r="D7" s="27" t="s">
        <v>104</v>
      </c>
      <c r="E7" s="27" t="s">
        <v>44</v>
      </c>
      <c r="F7" s="28"/>
      <c r="G7" s="27" t="s">
        <v>134</v>
      </c>
      <c r="H7" s="27" t="s">
        <v>165</v>
      </c>
      <c r="I7" s="27">
        <v>2.10475028311E11</v>
      </c>
      <c r="J7" s="27">
        <v>9.887184413E9</v>
      </c>
      <c r="K7" s="27" t="s">
        <v>168</v>
      </c>
      <c r="L7" s="27" t="s">
        <v>169</v>
      </c>
      <c r="M7" s="27">
        <v>263000.0</v>
      </c>
      <c r="N7" s="27">
        <v>263000.0</v>
      </c>
      <c r="O7" s="27">
        <v>263000.0</v>
      </c>
      <c r="P7" s="27">
        <v>200000.0</v>
      </c>
      <c r="Q7" s="20">
        <f t="shared" si="1"/>
        <v>63000</v>
      </c>
      <c r="R7" s="18" t="s">
        <v>66</v>
      </c>
      <c r="S7" s="19" t="s">
        <v>69</v>
      </c>
      <c r="T7" s="18" t="s">
        <v>71</v>
      </c>
      <c r="U7" s="29" t="s">
        <v>68</v>
      </c>
      <c r="V7" s="23" t="s">
        <v>70</v>
      </c>
      <c r="W7" s="20" t="s">
        <v>72</v>
      </c>
      <c r="X7" s="28"/>
      <c r="Y7" s="28"/>
      <c r="Z7" s="28"/>
      <c r="AA7" s="28"/>
      <c r="AB7" s="23">
        <f t="shared" si="2"/>
        <v>63000</v>
      </c>
      <c r="AC7" s="23">
        <f t="shared" si="3"/>
        <v>200000</v>
      </c>
      <c r="AD7" s="23">
        <f t="shared" si="4"/>
        <v>63000</v>
      </c>
      <c r="AE7" s="23">
        <f t="shared" si="5"/>
        <v>263000</v>
      </c>
      <c r="AF7" s="23">
        <f t="shared" si="6"/>
        <v>0</v>
      </c>
      <c r="AG7" s="45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</row>
    <row r="8">
      <c r="A8" s="24">
        <v>7.0</v>
      </c>
      <c r="B8" s="27" t="s">
        <v>128</v>
      </c>
      <c r="C8" s="27" t="s">
        <v>180</v>
      </c>
      <c r="D8" s="27" t="s">
        <v>132</v>
      </c>
      <c r="E8" s="27" t="s">
        <v>156</v>
      </c>
      <c r="F8" s="27" t="s">
        <v>77</v>
      </c>
      <c r="G8" s="27" t="s">
        <v>184</v>
      </c>
      <c r="H8" s="27" t="s">
        <v>114</v>
      </c>
      <c r="I8" s="27">
        <v>2.11529008855E11</v>
      </c>
      <c r="J8" s="27">
        <v>8.000495813E9</v>
      </c>
      <c r="K8" s="27" t="s">
        <v>186</v>
      </c>
      <c r="L8" s="27" t="s">
        <v>187</v>
      </c>
      <c r="M8" s="27">
        <v>200000.0</v>
      </c>
      <c r="N8" s="27">
        <v>180000.0</v>
      </c>
      <c r="O8" s="27">
        <v>180000.0</v>
      </c>
      <c r="P8" s="27">
        <v>180000.0</v>
      </c>
      <c r="Q8" s="20">
        <f t="shared" si="1"/>
        <v>0</v>
      </c>
      <c r="R8" s="18" t="s">
        <v>28</v>
      </c>
      <c r="S8" s="19" t="s">
        <v>69</v>
      </c>
      <c r="T8" s="18" t="s">
        <v>71</v>
      </c>
      <c r="U8" s="29" t="s">
        <v>68</v>
      </c>
      <c r="V8" s="23" t="s">
        <v>70</v>
      </c>
      <c r="W8" s="20" t="s">
        <v>72</v>
      </c>
      <c r="X8" s="28"/>
      <c r="Y8" s="28"/>
      <c r="Z8" s="28"/>
      <c r="AA8" s="28"/>
      <c r="AB8" s="23">
        <f t="shared" si="2"/>
        <v>0</v>
      </c>
      <c r="AC8" s="23">
        <f t="shared" si="3"/>
        <v>180000</v>
      </c>
      <c r="AD8" s="23">
        <f t="shared" si="4"/>
        <v>0</v>
      </c>
      <c r="AE8" s="23">
        <f t="shared" si="5"/>
        <v>180000</v>
      </c>
      <c r="AF8" s="23">
        <f t="shared" si="6"/>
        <v>0</v>
      </c>
      <c r="AG8" s="45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</row>
    <row r="9">
      <c r="A9" s="24">
        <v>8.0</v>
      </c>
      <c r="B9" s="27" t="s">
        <v>195</v>
      </c>
      <c r="C9" s="27" t="s">
        <v>196</v>
      </c>
      <c r="D9" s="28"/>
      <c r="E9" s="28"/>
      <c r="F9" s="28"/>
      <c r="G9" s="28"/>
      <c r="H9" s="27" t="s">
        <v>114</v>
      </c>
      <c r="I9" s="27">
        <v>2.11529014006E11</v>
      </c>
      <c r="J9" s="27">
        <v>9.60296177E9</v>
      </c>
      <c r="K9" s="27" t="s">
        <v>200</v>
      </c>
      <c r="L9" s="28"/>
      <c r="M9" s="28"/>
      <c r="N9" s="27">
        <v>220000.0</v>
      </c>
      <c r="O9" s="27">
        <v>220000.0</v>
      </c>
      <c r="P9" s="28"/>
      <c r="Q9" s="20">
        <f t="shared" si="1"/>
        <v>220000</v>
      </c>
      <c r="R9" s="18" t="s">
        <v>66</v>
      </c>
      <c r="S9" s="19" t="s">
        <v>69</v>
      </c>
      <c r="T9" s="18" t="s">
        <v>71</v>
      </c>
      <c r="U9" s="29" t="s">
        <v>68</v>
      </c>
      <c r="V9" s="23" t="s">
        <v>70</v>
      </c>
      <c r="W9" s="20" t="s">
        <v>72</v>
      </c>
      <c r="X9" s="28"/>
      <c r="Y9" s="28"/>
      <c r="Z9" s="28"/>
      <c r="AA9" s="28"/>
      <c r="AB9" s="23">
        <f t="shared" si="2"/>
        <v>220000</v>
      </c>
      <c r="AC9" s="23">
        <f t="shared" si="3"/>
        <v>0</v>
      </c>
      <c r="AD9" s="23">
        <f t="shared" si="4"/>
        <v>220000</v>
      </c>
      <c r="AE9" s="23">
        <f t="shared" si="5"/>
        <v>220000</v>
      </c>
      <c r="AF9" s="23">
        <f t="shared" si="6"/>
        <v>0</v>
      </c>
      <c r="AG9" s="45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</row>
    <row r="10">
      <c r="A10" s="21">
        <v>1.0</v>
      </c>
      <c r="B10" s="35" t="s">
        <v>208</v>
      </c>
      <c r="C10" s="35" t="s">
        <v>209</v>
      </c>
      <c r="D10" s="55" t="s">
        <v>104</v>
      </c>
      <c r="E10" s="35" t="s">
        <v>58</v>
      </c>
      <c r="F10" s="35" t="s">
        <v>77</v>
      </c>
      <c r="G10" s="55" t="s">
        <v>210</v>
      </c>
      <c r="H10" s="55" t="s">
        <v>135</v>
      </c>
      <c r="I10" s="56">
        <v>2.10474048668E11</v>
      </c>
      <c r="J10" s="57">
        <v>7.610057089E9</v>
      </c>
      <c r="K10" s="58" t="s">
        <v>214</v>
      </c>
      <c r="L10" s="38" t="s">
        <v>220</v>
      </c>
      <c r="M10" s="35">
        <v>225000.0</v>
      </c>
      <c r="N10" s="57">
        <v>260000.0</v>
      </c>
      <c r="O10" s="50">
        <v>260000.0</v>
      </c>
      <c r="P10" s="35">
        <v>200000.0</v>
      </c>
      <c r="Q10" s="35">
        <f t="shared" si="1"/>
        <v>60000</v>
      </c>
      <c r="R10" s="30" t="s">
        <v>82</v>
      </c>
      <c r="S10" s="60" t="s">
        <v>65</v>
      </c>
      <c r="T10" s="60" t="s">
        <v>83</v>
      </c>
      <c r="U10" s="38" t="s">
        <v>84</v>
      </c>
      <c r="V10" s="35" t="s">
        <v>85</v>
      </c>
      <c r="W10" s="35" t="s">
        <v>125</v>
      </c>
      <c r="X10" s="50">
        <v>120000.0</v>
      </c>
      <c r="Y10" s="35">
        <v>80000.0</v>
      </c>
      <c r="Z10" s="35">
        <v>20000.0</v>
      </c>
      <c r="AA10" s="35">
        <v>32000.0</v>
      </c>
      <c r="AB10" s="41">
        <f t="shared" si="2"/>
        <v>8000</v>
      </c>
      <c r="AC10" s="41">
        <f t="shared" si="3"/>
        <v>0</v>
      </c>
      <c r="AD10" s="41">
        <f t="shared" si="4"/>
        <v>40000</v>
      </c>
      <c r="AE10" s="41">
        <f t="shared" si="5"/>
        <v>40000</v>
      </c>
      <c r="AF10" s="41">
        <f t="shared" si="6"/>
        <v>252000</v>
      </c>
      <c r="AG10" s="59" t="s">
        <v>223</v>
      </c>
      <c r="AH10" s="37"/>
      <c r="AI10" s="37"/>
      <c r="AJ10" s="37"/>
      <c r="AK10" s="37"/>
      <c r="AL10" s="37"/>
      <c r="AM10" s="37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</row>
    <row r="11">
      <c r="A11" s="24">
        <v>2.0</v>
      </c>
      <c r="B11" s="35" t="s">
        <v>102</v>
      </c>
      <c r="C11" s="41" t="s">
        <v>230</v>
      </c>
      <c r="D11" s="41" t="s">
        <v>43</v>
      </c>
      <c r="E11" s="35" t="s">
        <v>44</v>
      </c>
      <c r="F11" s="35" t="s">
        <v>77</v>
      </c>
      <c r="G11" s="41" t="s">
        <v>114</v>
      </c>
      <c r="H11" s="41" t="s">
        <v>114</v>
      </c>
      <c r="I11" s="32">
        <v>2.11529036714E11</v>
      </c>
      <c r="J11" s="30">
        <v>9.772603753E9</v>
      </c>
      <c r="K11" s="31" t="s">
        <v>231</v>
      </c>
      <c r="L11" s="31" t="s">
        <v>232</v>
      </c>
      <c r="M11" s="39">
        <v>200000.0</v>
      </c>
      <c r="N11" s="39">
        <v>180000.0</v>
      </c>
      <c r="O11" s="50">
        <v>180000.0</v>
      </c>
      <c r="P11" s="39">
        <v>180000.0</v>
      </c>
      <c r="Q11" s="35">
        <f t="shared" si="1"/>
        <v>0</v>
      </c>
      <c r="R11" s="30" t="s">
        <v>82</v>
      </c>
      <c r="S11" s="31" t="s">
        <v>69</v>
      </c>
      <c r="T11" s="31" t="s">
        <v>83</v>
      </c>
      <c r="U11" s="38" t="s">
        <v>84</v>
      </c>
      <c r="V11" s="35" t="s">
        <v>85</v>
      </c>
      <c r="W11" s="35" t="s">
        <v>86</v>
      </c>
      <c r="X11" s="39">
        <v>125000.0</v>
      </c>
      <c r="Y11" s="35">
        <v>55000.0</v>
      </c>
      <c r="Z11" s="41"/>
      <c r="AA11" s="41"/>
      <c r="AB11" s="41">
        <f t="shared" si="2"/>
        <v>0</v>
      </c>
      <c r="AC11" s="41">
        <f t="shared" si="3"/>
        <v>0</v>
      </c>
      <c r="AD11" s="41">
        <f t="shared" si="4"/>
        <v>0</v>
      </c>
      <c r="AE11" s="41">
        <f t="shared" si="5"/>
        <v>0</v>
      </c>
      <c r="AF11" s="41">
        <f t="shared" si="6"/>
        <v>180000</v>
      </c>
      <c r="AG11" s="59"/>
      <c r="AH11" s="37"/>
      <c r="AI11" s="37"/>
      <c r="AJ11" s="37"/>
      <c r="AK11" s="37"/>
      <c r="AL11" s="37"/>
      <c r="AM11" s="37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</row>
    <row r="12">
      <c r="A12" s="21">
        <v>3.0</v>
      </c>
      <c r="B12" s="35" t="s">
        <v>102</v>
      </c>
      <c r="C12" s="41" t="s">
        <v>244</v>
      </c>
      <c r="D12" s="41" t="s">
        <v>245</v>
      </c>
      <c r="E12" s="35" t="s">
        <v>58</v>
      </c>
      <c r="F12" s="35" t="s">
        <v>77</v>
      </c>
      <c r="G12" s="41" t="s">
        <v>134</v>
      </c>
      <c r="H12" s="41" t="s">
        <v>246</v>
      </c>
      <c r="I12" s="32">
        <v>2.10475028681E11</v>
      </c>
      <c r="J12" s="32">
        <v>9.001392388E9</v>
      </c>
      <c r="K12" s="31" t="s">
        <v>247</v>
      </c>
      <c r="L12" s="41" t="s">
        <v>248</v>
      </c>
      <c r="M12" s="50">
        <v>405000.0</v>
      </c>
      <c r="N12" s="50">
        <v>400000.0</v>
      </c>
      <c r="O12" s="50">
        <v>400000.0</v>
      </c>
      <c r="P12" s="39">
        <v>200000.0</v>
      </c>
      <c r="Q12" s="35">
        <f t="shared" si="1"/>
        <v>200000</v>
      </c>
      <c r="R12" s="30" t="s">
        <v>82</v>
      </c>
      <c r="S12" s="31" t="s">
        <v>69</v>
      </c>
      <c r="T12" s="31" t="s">
        <v>83</v>
      </c>
      <c r="U12" s="38" t="s">
        <v>84</v>
      </c>
      <c r="V12" s="35" t="s">
        <v>85</v>
      </c>
      <c r="W12" s="35" t="s">
        <v>125</v>
      </c>
      <c r="X12" s="39">
        <v>140000.0</v>
      </c>
      <c r="Y12" s="35">
        <v>60000.0</v>
      </c>
      <c r="Z12" s="35">
        <f>120000+78000</f>
        <v>198000</v>
      </c>
      <c r="AA12" s="41"/>
      <c r="AB12" s="41">
        <f t="shared" si="2"/>
        <v>2000</v>
      </c>
      <c r="AC12" s="41">
        <f t="shared" si="3"/>
        <v>0</v>
      </c>
      <c r="AD12" s="41">
        <f t="shared" si="4"/>
        <v>2000</v>
      </c>
      <c r="AE12" s="41">
        <f t="shared" si="5"/>
        <v>2000</v>
      </c>
      <c r="AF12" s="41">
        <f t="shared" si="6"/>
        <v>398000</v>
      </c>
      <c r="AG12" s="59" t="s">
        <v>249</v>
      </c>
      <c r="AH12" s="37"/>
      <c r="AI12" s="37"/>
      <c r="AJ12" s="37"/>
      <c r="AK12" s="37"/>
      <c r="AL12" s="37"/>
      <c r="AM12" s="37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</row>
    <row r="13">
      <c r="A13" s="24">
        <v>4.0</v>
      </c>
      <c r="B13" s="35" t="s">
        <v>102</v>
      </c>
      <c r="C13" s="41" t="s">
        <v>257</v>
      </c>
      <c r="D13" s="41" t="s">
        <v>104</v>
      </c>
      <c r="E13" s="35" t="s">
        <v>58</v>
      </c>
      <c r="F13" s="35" t="s">
        <v>77</v>
      </c>
      <c r="G13" s="41" t="s">
        <v>259</v>
      </c>
      <c r="H13" s="41" t="s">
        <v>135</v>
      </c>
      <c r="I13" s="39">
        <v>2.10474033438E11</v>
      </c>
      <c r="J13" s="39">
        <v>9.602394557E9</v>
      </c>
      <c r="K13" s="41" t="s">
        <v>261</v>
      </c>
      <c r="L13" s="41" t="s">
        <v>263</v>
      </c>
      <c r="M13" s="39">
        <v>225000.0</v>
      </c>
      <c r="N13" s="39">
        <v>270000.0</v>
      </c>
      <c r="O13" s="50">
        <v>270000.0</v>
      </c>
      <c r="P13" s="35">
        <v>200000.0</v>
      </c>
      <c r="Q13" s="35">
        <f t="shared" si="1"/>
        <v>70000</v>
      </c>
      <c r="R13" s="30" t="s">
        <v>82</v>
      </c>
      <c r="S13" s="31" t="s">
        <v>65</v>
      </c>
      <c r="T13" s="30" t="s">
        <v>83</v>
      </c>
      <c r="U13" s="38" t="s">
        <v>84</v>
      </c>
      <c r="V13" s="35" t="s">
        <v>85</v>
      </c>
      <c r="W13" s="35" t="s">
        <v>86</v>
      </c>
      <c r="X13" s="35">
        <v>140000.0</v>
      </c>
      <c r="Y13" s="35">
        <v>60000.0</v>
      </c>
      <c r="Z13" s="35">
        <v>70000.0</v>
      </c>
      <c r="AA13" s="41"/>
      <c r="AB13" s="41">
        <f t="shared" si="2"/>
        <v>0</v>
      </c>
      <c r="AC13" s="41">
        <f t="shared" si="3"/>
        <v>0</v>
      </c>
      <c r="AD13" s="41">
        <f t="shared" si="4"/>
        <v>0</v>
      </c>
      <c r="AE13" s="41">
        <f t="shared" si="5"/>
        <v>0</v>
      </c>
      <c r="AF13" s="41">
        <f t="shared" si="6"/>
        <v>270000</v>
      </c>
      <c r="AG13" s="45"/>
      <c r="AH13" s="37"/>
      <c r="AI13" s="37"/>
      <c r="AJ13" s="37"/>
      <c r="AK13" s="37"/>
      <c r="AL13" s="37"/>
      <c r="AM13" s="37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</row>
    <row r="14" ht="30.75" customHeight="1">
      <c r="A14" s="21">
        <v>5.0</v>
      </c>
      <c r="B14" s="35" t="s">
        <v>102</v>
      </c>
      <c r="C14" s="35" t="s">
        <v>270</v>
      </c>
      <c r="D14" s="41" t="s">
        <v>43</v>
      </c>
      <c r="E14" s="35" t="s">
        <v>44</v>
      </c>
      <c r="F14" s="35" t="s">
        <v>77</v>
      </c>
      <c r="G14" s="41" t="s">
        <v>210</v>
      </c>
      <c r="H14" s="41" t="s">
        <v>135</v>
      </c>
      <c r="I14" s="32">
        <v>2.10474076189E11</v>
      </c>
      <c r="J14" s="32">
        <v>9.829594507E9</v>
      </c>
      <c r="K14" s="31" t="s">
        <v>271</v>
      </c>
      <c r="L14" s="41" t="s">
        <v>272</v>
      </c>
      <c r="M14" s="39">
        <v>200000.0</v>
      </c>
      <c r="N14" s="39">
        <v>180000.0</v>
      </c>
      <c r="O14" s="50">
        <v>180000.0</v>
      </c>
      <c r="P14" s="35">
        <v>180000.0</v>
      </c>
      <c r="Q14" s="35">
        <f t="shared" si="1"/>
        <v>0</v>
      </c>
      <c r="R14" s="30" t="s">
        <v>82</v>
      </c>
      <c r="S14" s="31" t="s">
        <v>65</v>
      </c>
      <c r="T14" s="30" t="s">
        <v>83</v>
      </c>
      <c r="U14" s="38" t="s">
        <v>84</v>
      </c>
      <c r="V14" s="35" t="s">
        <v>85</v>
      </c>
      <c r="W14" s="35" t="s">
        <v>86</v>
      </c>
      <c r="X14" s="35">
        <v>126000.0</v>
      </c>
      <c r="Y14" s="35">
        <v>54000.0</v>
      </c>
      <c r="Z14" s="41"/>
      <c r="AA14" s="41"/>
      <c r="AB14" s="41">
        <f t="shared" si="2"/>
        <v>0</v>
      </c>
      <c r="AC14" s="41">
        <f t="shared" si="3"/>
        <v>0</v>
      </c>
      <c r="AD14" s="41">
        <f t="shared" si="4"/>
        <v>0</v>
      </c>
      <c r="AE14" s="41">
        <f t="shared" si="5"/>
        <v>0</v>
      </c>
      <c r="AF14" s="41">
        <f t="shared" si="6"/>
        <v>180000</v>
      </c>
      <c r="AG14" s="59"/>
      <c r="AH14" s="37"/>
      <c r="AI14" s="37"/>
      <c r="AJ14" s="37"/>
      <c r="AK14" s="37"/>
      <c r="AL14" s="37"/>
      <c r="AM14" s="37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</row>
    <row r="15">
      <c r="A15" s="24">
        <v>6.0</v>
      </c>
      <c r="B15" s="35" t="s">
        <v>197</v>
      </c>
      <c r="C15" s="41" t="s">
        <v>279</v>
      </c>
      <c r="D15" s="41" t="s">
        <v>43</v>
      </c>
      <c r="E15" s="35" t="s">
        <v>44</v>
      </c>
      <c r="F15" s="35" t="s">
        <v>280</v>
      </c>
      <c r="G15" s="41" t="s">
        <v>114</v>
      </c>
      <c r="H15" s="41" t="s">
        <v>114</v>
      </c>
      <c r="I15" s="39">
        <v>2.11529013585E11</v>
      </c>
      <c r="J15" s="39">
        <v>9.829367152E9</v>
      </c>
      <c r="K15" s="41" t="s">
        <v>281</v>
      </c>
      <c r="L15" s="41" t="s">
        <v>282</v>
      </c>
      <c r="M15" s="39">
        <v>200000.0</v>
      </c>
      <c r="N15" s="39">
        <v>180000.0</v>
      </c>
      <c r="O15" s="50">
        <v>180000.0</v>
      </c>
      <c r="P15" s="35">
        <v>180000.0</v>
      </c>
      <c r="Q15" s="35">
        <f t="shared" si="1"/>
        <v>0</v>
      </c>
      <c r="R15" s="30" t="s">
        <v>82</v>
      </c>
      <c r="S15" s="31" t="s">
        <v>65</v>
      </c>
      <c r="T15" s="30" t="s">
        <v>83</v>
      </c>
      <c r="U15" s="38" t="s">
        <v>84</v>
      </c>
      <c r="V15" s="35" t="s">
        <v>207</v>
      </c>
      <c r="W15" s="35" t="s">
        <v>86</v>
      </c>
      <c r="X15" s="35">
        <v>120000.0</v>
      </c>
      <c r="Y15" s="35">
        <v>60000.0</v>
      </c>
      <c r="Z15" s="41"/>
      <c r="AA15" s="41"/>
      <c r="AB15" s="41">
        <f t="shared" si="2"/>
        <v>0</v>
      </c>
      <c r="AC15" s="41">
        <f t="shared" si="3"/>
        <v>0</v>
      </c>
      <c r="AD15" s="41">
        <f t="shared" si="4"/>
        <v>0</v>
      </c>
      <c r="AE15" s="41">
        <f t="shared" si="5"/>
        <v>0</v>
      </c>
      <c r="AF15" s="41">
        <f t="shared" si="6"/>
        <v>180000</v>
      </c>
      <c r="AG15" s="59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</row>
    <row r="16">
      <c r="A16" s="21">
        <v>7.0</v>
      </c>
      <c r="B16" s="38" t="s">
        <v>102</v>
      </c>
      <c r="C16" s="38" t="s">
        <v>289</v>
      </c>
      <c r="D16" s="38" t="s">
        <v>43</v>
      </c>
      <c r="E16" s="38" t="s">
        <v>44</v>
      </c>
      <c r="F16" s="38" t="s">
        <v>77</v>
      </c>
      <c r="G16" s="38" t="s">
        <v>114</v>
      </c>
      <c r="H16" s="38" t="s">
        <v>114</v>
      </c>
      <c r="I16" s="65">
        <v>2.11529013405E11</v>
      </c>
      <c r="J16" s="65">
        <v>9.166735441E9</v>
      </c>
      <c r="K16" s="38" t="s">
        <v>290</v>
      </c>
      <c r="L16" s="38" t="s">
        <v>291</v>
      </c>
      <c r="M16" s="38">
        <v>200000.0</v>
      </c>
      <c r="N16" s="38">
        <v>180000.0</v>
      </c>
      <c r="O16" s="38">
        <v>180000.0</v>
      </c>
      <c r="P16" s="38">
        <v>180000.0</v>
      </c>
      <c r="Q16" s="35">
        <f t="shared" si="1"/>
        <v>0</v>
      </c>
      <c r="R16" s="30" t="s">
        <v>82</v>
      </c>
      <c r="S16" s="30" t="s">
        <v>65</v>
      </c>
      <c r="T16" s="30" t="s">
        <v>83</v>
      </c>
      <c r="U16" s="38" t="s">
        <v>84</v>
      </c>
      <c r="V16" s="35" t="s">
        <v>85</v>
      </c>
      <c r="W16" s="35" t="s">
        <v>86</v>
      </c>
      <c r="X16" s="38">
        <v>126000.0</v>
      </c>
      <c r="Y16" s="38">
        <v>54000.0</v>
      </c>
      <c r="Z16" s="42"/>
      <c r="AA16" s="42"/>
      <c r="AB16" s="41">
        <f t="shared" si="2"/>
        <v>0</v>
      </c>
      <c r="AC16" s="41">
        <f t="shared" si="3"/>
        <v>0</v>
      </c>
      <c r="AD16" s="41">
        <f t="shared" si="4"/>
        <v>0</v>
      </c>
      <c r="AE16" s="41">
        <f t="shared" si="5"/>
        <v>0</v>
      </c>
      <c r="AF16" s="41">
        <f t="shared" si="6"/>
        <v>180000</v>
      </c>
      <c r="AG16" s="45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</row>
    <row r="17">
      <c r="A17" s="24">
        <v>8.0</v>
      </c>
      <c r="B17" s="35" t="s">
        <v>151</v>
      </c>
      <c r="C17" s="41" t="s">
        <v>295</v>
      </c>
      <c r="D17" s="41" t="s">
        <v>104</v>
      </c>
      <c r="E17" s="35" t="s">
        <v>44</v>
      </c>
      <c r="F17" s="35" t="s">
        <v>296</v>
      </c>
      <c r="G17" s="41" t="s">
        <v>134</v>
      </c>
      <c r="H17" s="41" t="s">
        <v>135</v>
      </c>
      <c r="I17" s="39">
        <v>2.10474033378E11</v>
      </c>
      <c r="J17" s="32">
        <v>9.509510835E9</v>
      </c>
      <c r="K17" s="31" t="s">
        <v>297</v>
      </c>
      <c r="L17" s="41" t="s">
        <v>298</v>
      </c>
      <c r="M17" s="50">
        <v>225000.0</v>
      </c>
      <c r="N17" s="35">
        <v>250000.0</v>
      </c>
      <c r="O17" s="35">
        <v>250000.0</v>
      </c>
      <c r="P17" s="35">
        <v>200000.0</v>
      </c>
      <c r="Q17" s="35">
        <f t="shared" si="1"/>
        <v>50000</v>
      </c>
      <c r="R17" s="30" t="s">
        <v>82</v>
      </c>
      <c r="S17" s="31" t="s">
        <v>65</v>
      </c>
      <c r="T17" s="30" t="s">
        <v>83</v>
      </c>
      <c r="U17" s="38" t="s">
        <v>84</v>
      </c>
      <c r="V17" s="35" t="s">
        <v>85</v>
      </c>
      <c r="W17" s="35" t="s">
        <v>86</v>
      </c>
      <c r="X17" s="35">
        <v>100000.0</v>
      </c>
      <c r="Y17" s="35">
        <v>100000.0</v>
      </c>
      <c r="Z17" s="35">
        <f>20000+20000</f>
        <v>40000</v>
      </c>
      <c r="AA17" s="35">
        <v>10000.0</v>
      </c>
      <c r="AB17" s="41">
        <f t="shared" si="2"/>
        <v>0</v>
      </c>
      <c r="AC17" s="41">
        <f t="shared" si="3"/>
        <v>0</v>
      </c>
      <c r="AD17" s="41">
        <f t="shared" si="4"/>
        <v>10000</v>
      </c>
      <c r="AE17" s="41">
        <f t="shared" si="5"/>
        <v>10000</v>
      </c>
      <c r="AF17" s="41">
        <f t="shared" si="6"/>
        <v>250000</v>
      </c>
      <c r="AG17" s="59" t="s">
        <v>299</v>
      </c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</row>
    <row r="18">
      <c r="A18" s="21">
        <v>9.0</v>
      </c>
      <c r="B18" s="38" t="s">
        <v>197</v>
      </c>
      <c r="C18" s="38" t="s">
        <v>306</v>
      </c>
      <c r="D18" s="38" t="s">
        <v>43</v>
      </c>
      <c r="E18" s="38" t="s">
        <v>44</v>
      </c>
      <c r="F18" s="38" t="s">
        <v>77</v>
      </c>
      <c r="G18" s="38" t="s">
        <v>308</v>
      </c>
      <c r="H18" s="38" t="s">
        <v>246</v>
      </c>
      <c r="I18" s="38">
        <v>2.1047500702E11</v>
      </c>
      <c r="J18" s="38">
        <v>7.229912623E9</v>
      </c>
      <c r="K18" s="38" t="s">
        <v>309</v>
      </c>
      <c r="L18" s="38" t="s">
        <v>310</v>
      </c>
      <c r="M18" s="38">
        <v>200000.0</v>
      </c>
      <c r="N18" s="38">
        <v>180000.0</v>
      </c>
      <c r="O18" s="38">
        <v>180000.0</v>
      </c>
      <c r="P18" s="38">
        <v>180000.0</v>
      </c>
      <c r="Q18" s="35">
        <f t="shared" si="1"/>
        <v>0</v>
      </c>
      <c r="R18" s="30" t="s">
        <v>82</v>
      </c>
      <c r="S18" s="31" t="s">
        <v>69</v>
      </c>
      <c r="T18" s="30" t="s">
        <v>83</v>
      </c>
      <c r="U18" s="38" t="s">
        <v>84</v>
      </c>
      <c r="V18" s="35" t="s">
        <v>207</v>
      </c>
      <c r="W18" s="35" t="s">
        <v>86</v>
      </c>
      <c r="X18" s="38">
        <v>125000.0</v>
      </c>
      <c r="Y18" s="38">
        <v>55000.0</v>
      </c>
      <c r="Z18" s="42"/>
      <c r="AA18" s="42"/>
      <c r="AB18" s="41">
        <f t="shared" si="2"/>
        <v>0</v>
      </c>
      <c r="AC18" s="41">
        <f t="shared" si="3"/>
        <v>0</v>
      </c>
      <c r="AD18" s="41">
        <f t="shared" si="4"/>
        <v>0</v>
      </c>
      <c r="AE18" s="41">
        <f t="shared" si="5"/>
        <v>0</v>
      </c>
      <c r="AF18" s="41">
        <f t="shared" si="6"/>
        <v>180000</v>
      </c>
      <c r="AG18" s="45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</row>
    <row r="19">
      <c r="A19" s="24">
        <v>10.0</v>
      </c>
      <c r="B19" s="35" t="s">
        <v>197</v>
      </c>
      <c r="C19" s="41" t="s">
        <v>311</v>
      </c>
      <c r="D19" s="41" t="s">
        <v>43</v>
      </c>
      <c r="E19" s="35" t="s">
        <v>44</v>
      </c>
      <c r="F19" s="35" t="s">
        <v>312</v>
      </c>
      <c r="G19" s="41" t="s">
        <v>114</v>
      </c>
      <c r="H19" s="41" t="s">
        <v>114</v>
      </c>
      <c r="I19" s="39">
        <v>2.11529029681E11</v>
      </c>
      <c r="J19" s="39">
        <v>9.950690539E9</v>
      </c>
      <c r="K19" s="41" t="s">
        <v>313</v>
      </c>
      <c r="L19" s="41" t="s">
        <v>314</v>
      </c>
      <c r="M19" s="39">
        <v>200000.0</v>
      </c>
      <c r="N19" s="39">
        <v>180000.0</v>
      </c>
      <c r="O19" s="50">
        <v>180000.0</v>
      </c>
      <c r="P19" s="35">
        <v>180000.0</v>
      </c>
      <c r="Q19" s="35">
        <f t="shared" si="1"/>
        <v>0</v>
      </c>
      <c r="R19" s="30" t="s">
        <v>82</v>
      </c>
      <c r="S19" s="31" t="s">
        <v>65</v>
      </c>
      <c r="T19" s="30" t="s">
        <v>83</v>
      </c>
      <c r="U19" s="38" t="s">
        <v>84</v>
      </c>
      <c r="V19" s="35" t="s">
        <v>278</v>
      </c>
      <c r="W19" s="35" t="s">
        <v>86</v>
      </c>
      <c r="X19" s="35">
        <v>126000.0</v>
      </c>
      <c r="Y19" s="35">
        <v>54000.0</v>
      </c>
      <c r="Z19" s="41"/>
      <c r="AA19" s="41"/>
      <c r="AB19" s="41">
        <f t="shared" si="2"/>
        <v>0</v>
      </c>
      <c r="AC19" s="41">
        <f t="shared" si="3"/>
        <v>0</v>
      </c>
      <c r="AD19" s="41">
        <f t="shared" si="4"/>
        <v>0</v>
      </c>
      <c r="AE19" s="41">
        <f t="shared" si="5"/>
        <v>0</v>
      </c>
      <c r="AF19" s="41">
        <f t="shared" si="6"/>
        <v>180000</v>
      </c>
      <c r="AG19" s="68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</row>
    <row r="20" ht="18.0" customHeight="1">
      <c r="A20" s="21">
        <v>11.0</v>
      </c>
      <c r="B20" s="38" t="s">
        <v>170</v>
      </c>
      <c r="C20" s="38" t="s">
        <v>320</v>
      </c>
      <c r="D20" s="38" t="s">
        <v>132</v>
      </c>
      <c r="E20" s="38" t="s">
        <v>156</v>
      </c>
      <c r="F20" s="38" t="s">
        <v>77</v>
      </c>
      <c r="G20" s="38" t="s">
        <v>114</v>
      </c>
      <c r="H20" s="38" t="s">
        <v>114</v>
      </c>
      <c r="I20" s="38">
        <v>2.11529033103E11</v>
      </c>
      <c r="J20" s="38">
        <v>8.107247277E9</v>
      </c>
      <c r="K20" s="38" t="s">
        <v>321</v>
      </c>
      <c r="L20" s="38" t="s">
        <v>322</v>
      </c>
      <c r="M20" s="38">
        <v>212000.0</v>
      </c>
      <c r="N20" s="38">
        <v>190000.0</v>
      </c>
      <c r="O20" s="38">
        <v>190000.0</v>
      </c>
      <c r="P20" s="38">
        <v>190000.0</v>
      </c>
      <c r="Q20" s="35">
        <f t="shared" si="1"/>
        <v>0</v>
      </c>
      <c r="R20" s="30" t="s">
        <v>82</v>
      </c>
      <c r="S20" s="31" t="s">
        <v>69</v>
      </c>
      <c r="T20" s="30" t="s">
        <v>83</v>
      </c>
      <c r="U20" s="38" t="s">
        <v>84</v>
      </c>
      <c r="V20" s="35" t="s">
        <v>175</v>
      </c>
      <c r="W20" s="35" t="s">
        <v>176</v>
      </c>
      <c r="X20" s="38">
        <v>133000.0</v>
      </c>
      <c r="Y20" s="42"/>
      <c r="Z20" s="42"/>
      <c r="AA20" s="42"/>
      <c r="AB20" s="41">
        <f t="shared" si="2"/>
        <v>0</v>
      </c>
      <c r="AC20" s="41">
        <f t="shared" si="3"/>
        <v>57000</v>
      </c>
      <c r="AD20" s="41">
        <f t="shared" si="4"/>
        <v>0</v>
      </c>
      <c r="AE20" s="41">
        <f t="shared" si="5"/>
        <v>57000</v>
      </c>
      <c r="AF20" s="41">
        <f t="shared" si="6"/>
        <v>133000</v>
      </c>
      <c r="AG20" s="70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</row>
    <row r="21">
      <c r="A21" s="21">
        <v>12.0</v>
      </c>
      <c r="B21" s="35" t="s">
        <v>197</v>
      </c>
      <c r="C21" s="41" t="s">
        <v>328</v>
      </c>
      <c r="D21" s="41" t="s">
        <v>104</v>
      </c>
      <c r="E21" s="35" t="s">
        <v>44</v>
      </c>
      <c r="F21" s="35" t="s">
        <v>312</v>
      </c>
      <c r="G21" s="41" t="s">
        <v>135</v>
      </c>
      <c r="H21" s="41" t="s">
        <v>135</v>
      </c>
      <c r="I21" s="39">
        <v>2.10474007973E11</v>
      </c>
      <c r="J21" s="39">
        <v>9.78510305E9</v>
      </c>
      <c r="K21" s="41" t="s">
        <v>329</v>
      </c>
      <c r="L21" s="71" t="s">
        <v>330</v>
      </c>
      <c r="M21" s="35">
        <v>225000.0</v>
      </c>
      <c r="N21" s="35">
        <v>270000.0</v>
      </c>
      <c r="O21" s="35">
        <v>270000.0</v>
      </c>
      <c r="P21" s="35">
        <v>200000.0</v>
      </c>
      <c r="Q21" s="35">
        <f t="shared" si="1"/>
        <v>70000</v>
      </c>
      <c r="R21" s="30" t="s">
        <v>82</v>
      </c>
      <c r="S21" s="31" t="s">
        <v>65</v>
      </c>
      <c r="T21" s="30" t="s">
        <v>83</v>
      </c>
      <c r="U21" s="38" t="s">
        <v>84</v>
      </c>
      <c r="V21" s="35" t="s">
        <v>278</v>
      </c>
      <c r="W21" s="35" t="s">
        <v>176</v>
      </c>
      <c r="X21" s="35">
        <v>140000.0</v>
      </c>
      <c r="Y21" s="41"/>
      <c r="Z21" s="41"/>
      <c r="AA21" s="41"/>
      <c r="AB21" s="41">
        <f t="shared" si="2"/>
        <v>70000</v>
      </c>
      <c r="AC21" s="41">
        <f t="shared" si="3"/>
        <v>60000</v>
      </c>
      <c r="AD21" s="41">
        <f t="shared" si="4"/>
        <v>70000</v>
      </c>
      <c r="AE21" s="41">
        <f t="shared" si="5"/>
        <v>130000</v>
      </c>
      <c r="AF21" s="41">
        <f t="shared" si="6"/>
        <v>140000</v>
      </c>
      <c r="AG21" s="72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</row>
    <row r="22">
      <c r="A22" s="21">
        <v>13.0</v>
      </c>
      <c r="B22" s="38" t="s">
        <v>170</v>
      </c>
      <c r="C22" s="38" t="s">
        <v>338</v>
      </c>
      <c r="D22" s="38" t="s">
        <v>339</v>
      </c>
      <c r="E22" s="38" t="s">
        <v>58</v>
      </c>
      <c r="F22" s="42"/>
      <c r="G22" s="38" t="s">
        <v>134</v>
      </c>
      <c r="H22" s="38" t="s">
        <v>135</v>
      </c>
      <c r="I22" s="38">
        <v>2.10474033427E11</v>
      </c>
      <c r="J22" s="38">
        <v>8.972238334E9</v>
      </c>
      <c r="K22" s="38" t="s">
        <v>340</v>
      </c>
      <c r="L22" s="38" t="s">
        <v>341</v>
      </c>
      <c r="M22" s="38">
        <v>290000.0</v>
      </c>
      <c r="N22" s="38">
        <v>290000.0</v>
      </c>
      <c r="O22" s="38">
        <v>290000.0</v>
      </c>
      <c r="P22" s="38">
        <v>0.0</v>
      </c>
      <c r="Q22" s="35">
        <f t="shared" si="1"/>
        <v>290000</v>
      </c>
      <c r="R22" s="30" t="s">
        <v>82</v>
      </c>
      <c r="S22" s="30" t="s">
        <v>65</v>
      </c>
      <c r="T22" s="30" t="s">
        <v>74</v>
      </c>
      <c r="U22" s="38" t="s">
        <v>84</v>
      </c>
      <c r="V22" s="35" t="s">
        <v>175</v>
      </c>
      <c r="W22" s="35" t="s">
        <v>125</v>
      </c>
      <c r="X22" s="42"/>
      <c r="Y22" s="42"/>
      <c r="Z22" s="38">
        <f>50000+50000+100000</f>
        <v>200000</v>
      </c>
      <c r="AA22" s="42"/>
      <c r="AB22" s="41">
        <f t="shared" si="2"/>
        <v>90000</v>
      </c>
      <c r="AC22" s="41">
        <f t="shared" si="3"/>
        <v>0</v>
      </c>
      <c r="AD22" s="41">
        <f t="shared" si="4"/>
        <v>90000</v>
      </c>
      <c r="AE22" s="41">
        <f t="shared" si="5"/>
        <v>90000</v>
      </c>
      <c r="AF22" s="41">
        <f t="shared" si="6"/>
        <v>200000</v>
      </c>
      <c r="AG22" s="70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</row>
    <row r="23">
      <c r="A23" s="21">
        <v>14.0</v>
      </c>
      <c r="B23" s="38" t="s">
        <v>170</v>
      </c>
      <c r="C23" s="38" t="s">
        <v>349</v>
      </c>
      <c r="D23" s="38" t="s">
        <v>226</v>
      </c>
      <c r="E23" s="38" t="s">
        <v>58</v>
      </c>
      <c r="F23" s="38" t="s">
        <v>350</v>
      </c>
      <c r="G23" s="38" t="s">
        <v>114</v>
      </c>
      <c r="H23" s="38" t="s">
        <v>114</v>
      </c>
      <c r="I23" s="38">
        <v>2.11529006407E11</v>
      </c>
      <c r="J23" s="38">
        <v>9.314504223E9</v>
      </c>
      <c r="K23" s="38" t="s">
        <v>351</v>
      </c>
      <c r="L23" s="38" t="s">
        <v>352</v>
      </c>
      <c r="M23" s="38">
        <v>320000.0</v>
      </c>
      <c r="N23" s="38">
        <v>320000.0</v>
      </c>
      <c r="O23" s="38">
        <v>320000.0</v>
      </c>
      <c r="P23" s="38">
        <v>200000.0</v>
      </c>
      <c r="Q23" s="35">
        <f t="shared" si="1"/>
        <v>120000</v>
      </c>
      <c r="R23" s="30" t="s">
        <v>82</v>
      </c>
      <c r="S23" s="31" t="s">
        <v>69</v>
      </c>
      <c r="T23" s="30" t="s">
        <v>83</v>
      </c>
      <c r="U23" s="38" t="s">
        <v>84</v>
      </c>
      <c r="V23" s="35" t="s">
        <v>175</v>
      </c>
      <c r="W23" s="35" t="s">
        <v>125</v>
      </c>
      <c r="X23" s="42"/>
      <c r="Y23" s="42"/>
      <c r="Z23" s="38">
        <f>10000+50000+40000</f>
        <v>100000</v>
      </c>
      <c r="AA23" s="42"/>
      <c r="AB23" s="41">
        <f t="shared" si="2"/>
        <v>20000</v>
      </c>
      <c r="AC23" s="41">
        <f t="shared" si="3"/>
        <v>200000</v>
      </c>
      <c r="AD23" s="41">
        <f t="shared" si="4"/>
        <v>20000</v>
      </c>
      <c r="AE23" s="41">
        <f t="shared" si="5"/>
        <v>220000</v>
      </c>
      <c r="AF23" s="41">
        <f t="shared" si="6"/>
        <v>100000</v>
      </c>
      <c r="AG23" s="70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</row>
    <row r="24">
      <c r="A24" s="21">
        <v>15.0</v>
      </c>
      <c r="B24" s="16" t="s">
        <v>41</v>
      </c>
      <c r="C24" s="54" t="s">
        <v>356</v>
      </c>
      <c r="D24" s="16" t="s">
        <v>104</v>
      </c>
      <c r="E24" s="54" t="s">
        <v>44</v>
      </c>
      <c r="F24" s="54" t="s">
        <v>357</v>
      </c>
      <c r="G24" s="16" t="s">
        <v>210</v>
      </c>
      <c r="H24" s="16" t="s">
        <v>114</v>
      </c>
      <c r="I24" s="79">
        <v>2.11529024941E11</v>
      </c>
      <c r="J24" s="79">
        <v>9.667667666E9</v>
      </c>
      <c r="K24" s="61" t="s">
        <v>358</v>
      </c>
      <c r="L24" s="61" t="s">
        <v>360</v>
      </c>
      <c r="M24" s="40">
        <v>250000.0</v>
      </c>
      <c r="N24" s="40">
        <v>250000.0</v>
      </c>
      <c r="O24" s="43">
        <v>250000.0</v>
      </c>
      <c r="P24" s="40">
        <v>200000.0</v>
      </c>
      <c r="Q24" s="59">
        <f t="shared" si="1"/>
        <v>50000</v>
      </c>
      <c r="R24" s="61" t="s">
        <v>28</v>
      </c>
      <c r="S24" s="61" t="s">
        <v>69</v>
      </c>
      <c r="T24" s="61" t="s">
        <v>73</v>
      </c>
      <c r="U24" s="51" t="s">
        <v>194</v>
      </c>
      <c r="V24" s="16" t="s">
        <v>70</v>
      </c>
      <c r="W24" s="54" t="s">
        <v>72</v>
      </c>
      <c r="X24" s="16"/>
      <c r="Y24" s="54"/>
      <c r="Z24" s="16"/>
      <c r="AA24" s="16"/>
      <c r="AB24" s="37">
        <f t="shared" si="2"/>
        <v>50000</v>
      </c>
      <c r="AC24" s="37">
        <f t="shared" si="3"/>
        <v>200000</v>
      </c>
      <c r="AD24" s="37">
        <f t="shared" si="4"/>
        <v>50000</v>
      </c>
      <c r="AE24" s="37">
        <f t="shared" si="5"/>
        <v>250000</v>
      </c>
      <c r="AF24" s="37">
        <f t="shared" si="6"/>
        <v>0</v>
      </c>
      <c r="AG24" s="59"/>
      <c r="AH24" s="37"/>
      <c r="AI24" s="37"/>
      <c r="AJ24" s="37"/>
      <c r="AK24" s="37"/>
      <c r="AL24" s="37"/>
      <c r="AM24" s="37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</row>
    <row r="25">
      <c r="A25" s="21">
        <v>16.0</v>
      </c>
      <c r="B25" s="54" t="s">
        <v>366</v>
      </c>
      <c r="C25" s="16" t="s">
        <v>367</v>
      </c>
      <c r="D25" s="16" t="s">
        <v>104</v>
      </c>
      <c r="E25" s="54" t="s">
        <v>44</v>
      </c>
      <c r="F25" s="54" t="s">
        <v>77</v>
      </c>
      <c r="G25" s="16" t="s">
        <v>134</v>
      </c>
      <c r="H25" s="54" t="s">
        <v>114</v>
      </c>
      <c r="I25" s="40">
        <v>2.11529000317E11</v>
      </c>
      <c r="J25" s="40">
        <v>9.549217713E9</v>
      </c>
      <c r="K25" s="16" t="s">
        <v>368</v>
      </c>
      <c r="L25" s="16" t="s">
        <v>369</v>
      </c>
      <c r="M25" s="40">
        <v>225000.0</v>
      </c>
      <c r="N25" s="54">
        <v>250000.0</v>
      </c>
      <c r="O25" s="54">
        <v>250000.0</v>
      </c>
      <c r="P25" s="54">
        <v>200000.0</v>
      </c>
      <c r="Q25" s="59">
        <f t="shared" si="1"/>
        <v>50000</v>
      </c>
      <c r="R25" s="61" t="s">
        <v>28</v>
      </c>
      <c r="S25" s="61" t="s">
        <v>69</v>
      </c>
      <c r="T25" s="53" t="s">
        <v>73</v>
      </c>
      <c r="U25" s="51" t="s">
        <v>194</v>
      </c>
      <c r="V25" s="54" t="s">
        <v>175</v>
      </c>
      <c r="W25" s="54" t="s">
        <v>72</v>
      </c>
      <c r="X25" s="16"/>
      <c r="Y25" s="16"/>
      <c r="Z25" s="16"/>
      <c r="AA25" s="16"/>
      <c r="AB25" s="37">
        <f t="shared" si="2"/>
        <v>50000</v>
      </c>
      <c r="AC25" s="37">
        <f t="shared" si="3"/>
        <v>200000</v>
      </c>
      <c r="AD25" s="37">
        <f t="shared" si="4"/>
        <v>50000</v>
      </c>
      <c r="AE25" s="37">
        <f t="shared" si="5"/>
        <v>250000</v>
      </c>
      <c r="AF25" s="37">
        <f t="shared" si="6"/>
        <v>0</v>
      </c>
      <c r="AG25" s="37"/>
      <c r="AH25" s="37"/>
      <c r="AI25" s="37"/>
      <c r="AJ25" s="37"/>
      <c r="AK25" s="37"/>
      <c r="AL25" s="37"/>
      <c r="AM25" s="37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</row>
    <row r="26">
      <c r="A26" s="21">
        <v>17.0</v>
      </c>
      <c r="B26" s="54" t="s">
        <v>41</v>
      </c>
      <c r="C26" s="16" t="s">
        <v>377</v>
      </c>
      <c r="D26" s="16" t="s">
        <v>104</v>
      </c>
      <c r="E26" s="54" t="s">
        <v>58</v>
      </c>
      <c r="F26" s="54" t="s">
        <v>378</v>
      </c>
      <c r="G26" s="54" t="s">
        <v>275</v>
      </c>
      <c r="H26" s="16" t="s">
        <v>379</v>
      </c>
      <c r="I26" s="43">
        <v>2.1047204482E11</v>
      </c>
      <c r="J26" s="54">
        <v>8.2098854E9</v>
      </c>
      <c r="K26" s="54" t="s">
        <v>380</v>
      </c>
      <c r="L26" s="54" t="s">
        <v>381</v>
      </c>
      <c r="M26" s="54">
        <v>225000.0</v>
      </c>
      <c r="N26" s="43">
        <v>275000.0</v>
      </c>
      <c r="O26" s="43">
        <v>275000.0</v>
      </c>
      <c r="P26" s="54">
        <v>200000.0</v>
      </c>
      <c r="Q26" s="59">
        <f t="shared" si="1"/>
        <v>75000</v>
      </c>
      <c r="R26" s="53" t="s">
        <v>28</v>
      </c>
      <c r="S26" s="53" t="s">
        <v>69</v>
      </c>
      <c r="T26" s="53" t="s">
        <v>73</v>
      </c>
      <c r="U26" s="51" t="s">
        <v>194</v>
      </c>
      <c r="V26" s="16" t="s">
        <v>70</v>
      </c>
      <c r="W26" s="54" t="s">
        <v>72</v>
      </c>
      <c r="X26" s="16"/>
      <c r="Y26" s="16"/>
      <c r="Z26" s="16"/>
      <c r="AA26" s="16"/>
      <c r="AB26" s="37">
        <f t="shared" si="2"/>
        <v>75000</v>
      </c>
      <c r="AC26" s="37">
        <f t="shared" si="3"/>
        <v>200000</v>
      </c>
      <c r="AD26" s="37">
        <f t="shared" si="4"/>
        <v>75000</v>
      </c>
      <c r="AE26" s="37">
        <f t="shared" si="5"/>
        <v>275000</v>
      </c>
      <c r="AF26" s="37">
        <f t="shared" si="6"/>
        <v>0</v>
      </c>
      <c r="AG26" s="37"/>
      <c r="AH26" s="37"/>
      <c r="AI26" s="37"/>
      <c r="AJ26" s="37"/>
      <c r="AK26" s="37"/>
      <c r="AL26" s="37"/>
      <c r="AM26" s="37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>
      <c r="A27" s="21">
        <v>18.0</v>
      </c>
      <c r="B27" s="82" t="s">
        <v>382</v>
      </c>
      <c r="C27" s="83" t="s">
        <v>383</v>
      </c>
      <c r="D27" s="83" t="s">
        <v>274</v>
      </c>
      <c r="E27" s="82" t="s">
        <v>44</v>
      </c>
      <c r="F27" s="82" t="s">
        <v>77</v>
      </c>
      <c r="G27" s="82" t="s">
        <v>134</v>
      </c>
      <c r="H27" s="83" t="s">
        <v>384</v>
      </c>
      <c r="I27" s="84">
        <v>2.10475023882E11</v>
      </c>
      <c r="J27" s="84">
        <v>8.947883394E9</v>
      </c>
      <c r="K27" s="85" t="s">
        <v>388</v>
      </c>
      <c r="L27" s="86" t="s">
        <v>395</v>
      </c>
      <c r="M27" s="87">
        <v>200000.0</v>
      </c>
      <c r="N27" s="87">
        <v>180000.0</v>
      </c>
      <c r="O27" s="87">
        <v>180000.0</v>
      </c>
      <c r="P27" s="82">
        <v>180000.0</v>
      </c>
      <c r="Q27" s="82">
        <f t="shared" si="1"/>
        <v>0</v>
      </c>
      <c r="R27" s="88" t="s">
        <v>28</v>
      </c>
      <c r="S27" s="88" t="s">
        <v>69</v>
      </c>
      <c r="T27" s="89" t="s">
        <v>83</v>
      </c>
      <c r="U27" s="86" t="s">
        <v>194</v>
      </c>
      <c r="V27" s="83" t="s">
        <v>70</v>
      </c>
      <c r="W27" s="82" t="s">
        <v>176</v>
      </c>
      <c r="X27" s="86">
        <v>126000.0</v>
      </c>
      <c r="Y27" s="90"/>
      <c r="Z27" s="83"/>
      <c r="AA27" s="83"/>
      <c r="AB27" s="83">
        <f t="shared" si="2"/>
        <v>0</v>
      </c>
      <c r="AC27" s="83">
        <f t="shared" si="3"/>
        <v>54000</v>
      </c>
      <c r="AD27" s="83">
        <f t="shared" si="4"/>
        <v>0</v>
      </c>
      <c r="AE27" s="83">
        <f t="shared" si="5"/>
        <v>54000</v>
      </c>
      <c r="AF27" s="83">
        <f t="shared" si="6"/>
        <v>126000</v>
      </c>
      <c r="AG27" s="37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91"/>
      <c r="BU27" s="91"/>
    </row>
    <row r="28">
      <c r="A28" s="21">
        <v>19.0</v>
      </c>
      <c r="B28" s="86" t="s">
        <v>402</v>
      </c>
      <c r="C28" s="86" t="s">
        <v>403</v>
      </c>
      <c r="D28" s="86" t="s">
        <v>132</v>
      </c>
      <c r="E28" s="86" t="s">
        <v>156</v>
      </c>
      <c r="F28" s="86" t="s">
        <v>77</v>
      </c>
      <c r="G28" s="86" t="s">
        <v>404</v>
      </c>
      <c r="H28" s="86" t="s">
        <v>124</v>
      </c>
      <c r="I28" s="86">
        <v>2.11525057547E11</v>
      </c>
      <c r="J28" s="86">
        <v>9.929272613E9</v>
      </c>
      <c r="K28" s="86" t="s">
        <v>406</v>
      </c>
      <c r="L28" s="86" t="s">
        <v>408</v>
      </c>
      <c r="M28" s="86">
        <v>200000.0</v>
      </c>
      <c r="N28" s="86">
        <v>180000.0</v>
      </c>
      <c r="O28" s="86">
        <v>180000.0</v>
      </c>
      <c r="P28" s="86">
        <v>180000.0</v>
      </c>
      <c r="Q28" s="82">
        <f t="shared" si="1"/>
        <v>0</v>
      </c>
      <c r="R28" s="88" t="s">
        <v>28</v>
      </c>
      <c r="S28" s="88" t="s">
        <v>69</v>
      </c>
      <c r="T28" s="89" t="s">
        <v>83</v>
      </c>
      <c r="U28" s="86" t="s">
        <v>415</v>
      </c>
      <c r="V28" s="82" t="s">
        <v>175</v>
      </c>
      <c r="W28" s="82" t="s">
        <v>176</v>
      </c>
      <c r="X28" s="82">
        <v>126000.0</v>
      </c>
      <c r="Y28" s="91"/>
      <c r="Z28" s="91"/>
      <c r="AA28" s="91"/>
      <c r="AB28" s="83">
        <f t="shared" si="2"/>
        <v>0</v>
      </c>
      <c r="AC28" s="83">
        <f t="shared" si="3"/>
        <v>54000</v>
      </c>
      <c r="AD28" s="83">
        <f t="shared" si="4"/>
        <v>0</v>
      </c>
      <c r="AE28" s="83">
        <f t="shared" si="5"/>
        <v>54000</v>
      </c>
      <c r="AF28" s="83">
        <f t="shared" si="6"/>
        <v>126000</v>
      </c>
      <c r="AG28" s="45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</row>
    <row r="29">
      <c r="A29" s="21">
        <v>20.0</v>
      </c>
      <c r="B29" s="51" t="s">
        <v>422</v>
      </c>
      <c r="C29" s="51" t="s">
        <v>423</v>
      </c>
      <c r="D29" s="51" t="s">
        <v>43</v>
      </c>
      <c r="E29" s="51" t="s">
        <v>44</v>
      </c>
      <c r="G29" s="51" t="s">
        <v>424</v>
      </c>
      <c r="H29" s="51" t="s">
        <v>114</v>
      </c>
      <c r="I29" s="51">
        <v>2.11529030154E11</v>
      </c>
      <c r="J29" s="51">
        <v>9.509093546E9</v>
      </c>
      <c r="K29" s="51" t="s">
        <v>425</v>
      </c>
      <c r="L29" s="51" t="s">
        <v>426</v>
      </c>
      <c r="M29" s="51">
        <v>200000.0</v>
      </c>
      <c r="N29" s="51">
        <v>185000.0</v>
      </c>
      <c r="O29" s="51">
        <v>185000.0</v>
      </c>
      <c r="P29" s="51">
        <v>180000.0</v>
      </c>
      <c r="Q29" s="59">
        <f t="shared" si="1"/>
        <v>5000</v>
      </c>
      <c r="R29" s="53" t="s">
        <v>28</v>
      </c>
      <c r="S29" s="61" t="s">
        <v>69</v>
      </c>
      <c r="T29" s="53" t="s">
        <v>73</v>
      </c>
      <c r="U29" s="51" t="s">
        <v>194</v>
      </c>
      <c r="V29" s="54" t="s">
        <v>175</v>
      </c>
      <c r="W29" s="54" t="s">
        <v>72</v>
      </c>
      <c r="AB29" s="37">
        <f t="shared" si="2"/>
        <v>5000</v>
      </c>
      <c r="AC29" s="37">
        <f t="shared" si="3"/>
        <v>180000</v>
      </c>
      <c r="AD29" s="37">
        <f t="shared" si="4"/>
        <v>5000</v>
      </c>
      <c r="AE29" s="37">
        <f t="shared" si="5"/>
        <v>185000</v>
      </c>
      <c r="AF29" s="37">
        <f t="shared" si="6"/>
        <v>0</v>
      </c>
      <c r="AG29" s="45"/>
      <c r="AH29" s="45"/>
      <c r="AI29" s="45"/>
      <c r="AJ29" s="45"/>
      <c r="AK29" s="45"/>
      <c r="AL29" s="45"/>
      <c r="AM29" s="45"/>
    </row>
    <row r="30">
      <c r="A30" s="21">
        <v>21.0</v>
      </c>
      <c r="B30" s="47" t="s">
        <v>429</v>
      </c>
      <c r="J30" s="51">
        <v>9.529657002E9</v>
      </c>
      <c r="Q30" s="59">
        <f t="shared" si="1"/>
        <v>0</v>
      </c>
      <c r="R30" s="53" t="s">
        <v>66</v>
      </c>
      <c r="S30" s="61" t="s">
        <v>69</v>
      </c>
      <c r="T30" s="53" t="s">
        <v>71</v>
      </c>
      <c r="U30" s="51" t="s">
        <v>194</v>
      </c>
      <c r="V30" s="16" t="s">
        <v>70</v>
      </c>
      <c r="W30" s="54" t="s">
        <v>72</v>
      </c>
      <c r="AB30" s="37">
        <f t="shared" si="2"/>
        <v>0</v>
      </c>
      <c r="AC30" s="37">
        <f t="shared" si="3"/>
        <v>0</v>
      </c>
      <c r="AD30" s="37">
        <f t="shared" si="4"/>
        <v>0</v>
      </c>
      <c r="AE30" s="37">
        <f t="shared" si="5"/>
        <v>0</v>
      </c>
      <c r="AF30" s="37">
        <f t="shared" si="6"/>
        <v>0</v>
      </c>
      <c r="AG30" s="45"/>
      <c r="AH30" s="45"/>
      <c r="AI30" s="45"/>
      <c r="AJ30" s="45"/>
      <c r="AK30" s="45"/>
      <c r="AL30" s="45"/>
      <c r="AM30" s="45"/>
    </row>
    <row r="31">
      <c r="A31" s="21">
        <v>22.0</v>
      </c>
      <c r="B31" s="51" t="s">
        <v>435</v>
      </c>
      <c r="C31" s="51" t="s">
        <v>436</v>
      </c>
      <c r="D31" s="51" t="s">
        <v>258</v>
      </c>
      <c r="E31" s="51" t="s">
        <v>58</v>
      </c>
      <c r="F31" s="51" t="s">
        <v>77</v>
      </c>
      <c r="G31" s="51" t="s">
        <v>114</v>
      </c>
      <c r="H31" s="51" t="s">
        <v>124</v>
      </c>
      <c r="I31" s="51">
        <v>2.11525051738E11</v>
      </c>
      <c r="J31" s="51">
        <v>7.477577214E9</v>
      </c>
      <c r="K31" s="51" t="s">
        <v>437</v>
      </c>
      <c r="L31" s="51" t="s">
        <v>438</v>
      </c>
      <c r="M31" s="51">
        <v>230000.0</v>
      </c>
      <c r="N31" s="51">
        <v>230000.0</v>
      </c>
      <c r="O31" s="51">
        <v>230000.0</v>
      </c>
      <c r="P31" s="51">
        <v>200000.0</v>
      </c>
      <c r="Q31" s="59">
        <f t="shared" si="1"/>
        <v>30000</v>
      </c>
      <c r="R31" s="53" t="s">
        <v>66</v>
      </c>
      <c r="S31" s="61" t="s">
        <v>69</v>
      </c>
      <c r="T31" s="46" t="s">
        <v>71</v>
      </c>
      <c r="U31" s="51" t="s">
        <v>194</v>
      </c>
      <c r="V31" s="16" t="s">
        <v>70</v>
      </c>
      <c r="W31" s="54" t="s">
        <v>72</v>
      </c>
      <c r="AB31" s="37">
        <f t="shared" si="2"/>
        <v>30000</v>
      </c>
      <c r="AC31" s="37">
        <f t="shared" si="3"/>
        <v>200000</v>
      </c>
      <c r="AD31" s="37">
        <f t="shared" si="4"/>
        <v>30000</v>
      </c>
      <c r="AE31" s="37">
        <f t="shared" si="5"/>
        <v>230000</v>
      </c>
      <c r="AF31" s="37">
        <f t="shared" si="6"/>
        <v>0</v>
      </c>
      <c r="AG31" s="45"/>
      <c r="AH31" s="45"/>
      <c r="AI31" s="45"/>
      <c r="AJ31" s="45"/>
      <c r="AK31" s="45"/>
      <c r="AL31" s="45"/>
      <c r="AM31" s="45"/>
    </row>
    <row r="32">
      <c r="A32" s="21">
        <v>23.0</v>
      </c>
      <c r="B32" s="51" t="s">
        <v>41</v>
      </c>
      <c r="C32" s="51" t="s">
        <v>443</v>
      </c>
      <c r="D32" s="51" t="s">
        <v>43</v>
      </c>
      <c r="E32" s="51" t="s">
        <v>44</v>
      </c>
      <c r="F32" s="51" t="s">
        <v>378</v>
      </c>
      <c r="G32" s="51" t="s">
        <v>114</v>
      </c>
      <c r="H32" s="51" t="s">
        <v>114</v>
      </c>
      <c r="I32" s="51">
        <v>2.11529018405E11</v>
      </c>
      <c r="J32" s="51">
        <v>9.829841176E9</v>
      </c>
      <c r="K32" s="51" t="s">
        <v>445</v>
      </c>
      <c r="L32" s="51" t="s">
        <v>446</v>
      </c>
      <c r="M32" s="51">
        <v>195000.0</v>
      </c>
      <c r="N32" s="51">
        <v>175000.0</v>
      </c>
      <c r="O32" s="51">
        <v>175000.0</v>
      </c>
      <c r="P32" s="51">
        <v>175000.0</v>
      </c>
      <c r="Q32" s="59">
        <f t="shared" si="1"/>
        <v>0</v>
      </c>
      <c r="R32" s="53" t="s">
        <v>28</v>
      </c>
      <c r="S32" s="61" t="s">
        <v>69</v>
      </c>
      <c r="T32" s="46" t="s">
        <v>73</v>
      </c>
      <c r="U32" s="51" t="s">
        <v>194</v>
      </c>
      <c r="V32" s="16" t="s">
        <v>70</v>
      </c>
      <c r="W32" s="54" t="s">
        <v>72</v>
      </c>
      <c r="AB32" s="37">
        <f t="shared" si="2"/>
        <v>0</v>
      </c>
      <c r="AC32" s="37">
        <f t="shared" si="3"/>
        <v>175000</v>
      </c>
      <c r="AD32" s="37">
        <f t="shared" si="4"/>
        <v>0</v>
      </c>
      <c r="AE32" s="37">
        <f t="shared" si="5"/>
        <v>175000</v>
      </c>
      <c r="AF32" s="37"/>
      <c r="AG32" s="45"/>
      <c r="AH32" s="45"/>
      <c r="AI32" s="45"/>
      <c r="AJ32" s="47" t="s">
        <v>453</v>
      </c>
      <c r="AK32" s="45"/>
      <c r="AL32" s="45"/>
      <c r="AM32" s="45"/>
    </row>
    <row r="33">
      <c r="A33" s="21">
        <v>24.0</v>
      </c>
      <c r="B33" s="51" t="s">
        <v>182</v>
      </c>
      <c r="C33" s="51" t="s">
        <v>454</v>
      </c>
      <c r="D33" s="51" t="s">
        <v>258</v>
      </c>
      <c r="E33" s="51" t="s">
        <v>44</v>
      </c>
      <c r="F33" s="51" t="s">
        <v>455</v>
      </c>
      <c r="G33" s="51" t="s">
        <v>114</v>
      </c>
      <c r="H33" s="51" t="s">
        <v>114</v>
      </c>
      <c r="I33" s="51">
        <v>2.11529013319E11</v>
      </c>
      <c r="J33" s="51">
        <v>8.387809024E9</v>
      </c>
      <c r="M33" s="51">
        <v>225000.0</v>
      </c>
      <c r="N33" s="51">
        <v>210000.0</v>
      </c>
      <c r="O33" s="51">
        <v>210000.0</v>
      </c>
      <c r="P33" s="51">
        <v>200000.0</v>
      </c>
      <c r="Q33" s="59">
        <f t="shared" si="1"/>
        <v>10000</v>
      </c>
      <c r="R33" s="53" t="s">
        <v>66</v>
      </c>
      <c r="S33" s="61" t="s">
        <v>69</v>
      </c>
      <c r="T33" s="46" t="s">
        <v>71</v>
      </c>
      <c r="U33" s="51" t="s">
        <v>68</v>
      </c>
      <c r="V33" s="16" t="s">
        <v>70</v>
      </c>
      <c r="W33" s="54" t="s">
        <v>72</v>
      </c>
      <c r="AB33" s="37">
        <f t="shared" si="2"/>
        <v>10000</v>
      </c>
      <c r="AC33" s="37">
        <f t="shared" si="3"/>
        <v>200000</v>
      </c>
      <c r="AD33" s="37">
        <f t="shared" si="4"/>
        <v>10000</v>
      </c>
      <c r="AE33" s="37">
        <f t="shared" si="5"/>
        <v>210000</v>
      </c>
      <c r="AF33" s="37"/>
      <c r="AG33" s="45"/>
      <c r="AH33" s="45"/>
      <c r="AI33" s="45"/>
      <c r="AJ33" s="45"/>
      <c r="AK33" s="45"/>
      <c r="AL33" s="45"/>
      <c r="AM33" s="45"/>
    </row>
    <row r="34">
      <c r="A34" s="21">
        <v>25.0</v>
      </c>
      <c r="B34" s="51" t="s">
        <v>463</v>
      </c>
      <c r="C34" s="51" t="s">
        <v>464</v>
      </c>
      <c r="D34" s="51" t="s">
        <v>43</v>
      </c>
      <c r="E34" s="51" t="s">
        <v>44</v>
      </c>
      <c r="F34" s="51" t="s">
        <v>466</v>
      </c>
      <c r="G34" s="51" t="s">
        <v>467</v>
      </c>
      <c r="H34" s="51" t="s">
        <v>124</v>
      </c>
      <c r="L34" s="51" t="s">
        <v>468</v>
      </c>
      <c r="M34" s="51">
        <v>200000.0</v>
      </c>
      <c r="N34" s="51">
        <v>180000.0</v>
      </c>
      <c r="O34" s="51">
        <v>180000.0</v>
      </c>
      <c r="P34" s="51">
        <v>180000.0</v>
      </c>
      <c r="Q34" s="59">
        <f t="shared" si="1"/>
        <v>0</v>
      </c>
      <c r="R34" s="53" t="s">
        <v>66</v>
      </c>
      <c r="S34" s="61" t="s">
        <v>69</v>
      </c>
      <c r="T34" s="46" t="s">
        <v>71</v>
      </c>
      <c r="U34" s="51" t="s">
        <v>194</v>
      </c>
      <c r="V34" s="16" t="s">
        <v>70</v>
      </c>
      <c r="W34" s="54" t="s">
        <v>72</v>
      </c>
      <c r="AB34" s="37">
        <f t="shared" si="2"/>
        <v>0</v>
      </c>
      <c r="AC34" s="37">
        <f t="shared" si="3"/>
        <v>180000</v>
      </c>
      <c r="AD34" s="37">
        <f t="shared" si="4"/>
        <v>0</v>
      </c>
      <c r="AE34" s="37">
        <f t="shared" si="5"/>
        <v>180000</v>
      </c>
      <c r="AF34" s="37"/>
      <c r="AG34" s="45"/>
      <c r="AH34" s="45"/>
      <c r="AI34" s="45"/>
      <c r="AJ34" s="45"/>
      <c r="AK34" s="45"/>
      <c r="AL34" s="45"/>
      <c r="AM34" s="45"/>
    </row>
    <row r="35">
      <c r="Q35" s="59">
        <f t="shared" si="1"/>
        <v>0</v>
      </c>
      <c r="R35" s="53" t="s">
        <v>66</v>
      </c>
      <c r="S35" s="61" t="s">
        <v>69</v>
      </c>
      <c r="T35" s="46" t="s">
        <v>71</v>
      </c>
      <c r="U35" s="51" t="s">
        <v>194</v>
      </c>
      <c r="V35" s="16" t="s">
        <v>70</v>
      </c>
      <c r="W35" s="54" t="s">
        <v>72</v>
      </c>
      <c r="AB35" s="37">
        <f t="shared" si="2"/>
        <v>0</v>
      </c>
      <c r="AC35" s="37">
        <f t="shared" si="3"/>
        <v>0</v>
      </c>
      <c r="AD35" s="37">
        <f t="shared" si="4"/>
        <v>0</v>
      </c>
      <c r="AE35" s="37">
        <f t="shared" si="5"/>
        <v>0</v>
      </c>
      <c r="AF35" s="37"/>
      <c r="AG35" s="45"/>
      <c r="AH35" s="45"/>
      <c r="AI35" s="45"/>
      <c r="AJ35" s="45"/>
      <c r="AK35" s="45"/>
      <c r="AL35" s="45"/>
      <c r="AM35" s="45"/>
    </row>
    <row r="36">
      <c r="Q36" s="59">
        <f t="shared" si="1"/>
        <v>0</v>
      </c>
      <c r="R36" s="53" t="s">
        <v>66</v>
      </c>
      <c r="S36" s="61" t="s">
        <v>69</v>
      </c>
      <c r="T36" s="46" t="s">
        <v>71</v>
      </c>
      <c r="U36" s="51" t="s">
        <v>194</v>
      </c>
      <c r="V36" s="16" t="s">
        <v>70</v>
      </c>
      <c r="W36" s="54" t="s">
        <v>72</v>
      </c>
      <c r="AB36" s="37">
        <f t="shared" si="2"/>
        <v>0</v>
      </c>
      <c r="AC36" s="37">
        <f t="shared" si="3"/>
        <v>0</v>
      </c>
      <c r="AD36" s="37">
        <f t="shared" si="4"/>
        <v>0</v>
      </c>
      <c r="AE36" s="37">
        <f t="shared" si="5"/>
        <v>0</v>
      </c>
      <c r="AF36" s="37"/>
      <c r="AG36" s="45"/>
      <c r="AH36" s="45"/>
      <c r="AI36" s="45"/>
      <c r="AJ36" s="45"/>
      <c r="AK36" s="45"/>
      <c r="AL36" s="45"/>
      <c r="AM36" s="45"/>
    </row>
    <row r="37">
      <c r="Q37" s="59">
        <f t="shared" si="1"/>
        <v>0</v>
      </c>
      <c r="R37" s="53" t="s">
        <v>66</v>
      </c>
      <c r="S37" s="61" t="s">
        <v>69</v>
      </c>
      <c r="T37" s="46" t="s">
        <v>71</v>
      </c>
      <c r="U37" s="51" t="s">
        <v>194</v>
      </c>
      <c r="V37" s="16" t="s">
        <v>70</v>
      </c>
      <c r="W37" s="54" t="s">
        <v>72</v>
      </c>
      <c r="AB37" s="37"/>
      <c r="AC37" s="37"/>
      <c r="AD37" s="37"/>
      <c r="AE37" s="37">
        <f t="shared" si="5"/>
        <v>0</v>
      </c>
      <c r="AF37" s="37"/>
      <c r="AG37" s="45"/>
      <c r="AH37" s="45"/>
      <c r="AI37" s="45"/>
      <c r="AJ37" s="45"/>
      <c r="AK37" s="45"/>
      <c r="AL37" s="45"/>
      <c r="AM37" s="45"/>
    </row>
    <row r="38">
      <c r="Q38" s="59">
        <f t="shared" si="1"/>
        <v>0</v>
      </c>
      <c r="R38" s="53" t="s">
        <v>66</v>
      </c>
      <c r="S38" s="61" t="s">
        <v>69</v>
      </c>
      <c r="T38" s="46" t="s">
        <v>71</v>
      </c>
      <c r="U38" s="51" t="s">
        <v>194</v>
      </c>
      <c r="V38" s="16" t="s">
        <v>70</v>
      </c>
      <c r="W38" s="54" t="s">
        <v>72</v>
      </c>
      <c r="AB38" s="37"/>
      <c r="AC38" s="37"/>
      <c r="AD38" s="37"/>
      <c r="AE38" s="37"/>
      <c r="AF38" s="37"/>
      <c r="AG38" s="45"/>
      <c r="AH38" s="45"/>
      <c r="AI38" s="45"/>
      <c r="AJ38" s="45"/>
      <c r="AK38" s="45"/>
      <c r="AL38" s="45"/>
      <c r="AM38" s="45"/>
    </row>
    <row r="39">
      <c r="AB39" s="37"/>
      <c r="AC39" s="37"/>
      <c r="AD39" s="37"/>
      <c r="AE39" s="37"/>
      <c r="AF39" s="37"/>
      <c r="AG39" s="45"/>
      <c r="AH39" s="45"/>
      <c r="AI39" s="45"/>
      <c r="AJ39" s="45"/>
      <c r="AK39" s="45"/>
      <c r="AL39" s="45"/>
      <c r="AM39" s="45"/>
    </row>
    <row r="40">
      <c r="AB40" s="37"/>
      <c r="AC40" s="37"/>
      <c r="AD40" s="37"/>
      <c r="AE40" s="37"/>
      <c r="AF40" s="37"/>
      <c r="AG40" s="45"/>
      <c r="AH40" s="45"/>
      <c r="AI40" s="45"/>
      <c r="AJ40" s="45"/>
      <c r="AK40" s="45"/>
      <c r="AL40" s="45"/>
      <c r="AM40" s="45"/>
    </row>
    <row r="41">
      <c r="AB41" s="37"/>
      <c r="AC41" s="37"/>
      <c r="AD41" s="37"/>
      <c r="AE41" s="37"/>
      <c r="AF41" s="37"/>
      <c r="AG41" s="45"/>
      <c r="AH41" s="45"/>
      <c r="AI41" s="45"/>
      <c r="AJ41" s="45"/>
      <c r="AK41" s="45"/>
      <c r="AL41" s="45"/>
      <c r="AM41" s="45"/>
    </row>
    <row r="42">
      <c r="AB42" s="37"/>
      <c r="AC42" s="37"/>
      <c r="AD42" s="37"/>
      <c r="AE42" s="37"/>
      <c r="AF42" s="37"/>
      <c r="AG42" s="45"/>
      <c r="AH42" s="45"/>
      <c r="AI42" s="45"/>
      <c r="AJ42" s="45"/>
      <c r="AK42" s="45"/>
      <c r="AL42" s="45"/>
      <c r="AM42" s="45"/>
    </row>
    <row r="43">
      <c r="AB43" s="37"/>
      <c r="AC43" s="37"/>
      <c r="AD43" s="37"/>
      <c r="AE43" s="37"/>
      <c r="AF43" s="37"/>
      <c r="AG43" s="45"/>
      <c r="AH43" s="45"/>
      <c r="AI43" s="45"/>
      <c r="AJ43" s="45"/>
      <c r="AK43" s="45"/>
      <c r="AL43" s="45"/>
      <c r="AM43" s="45"/>
    </row>
    <row r="44">
      <c r="AB44" s="37"/>
      <c r="AC44" s="37"/>
      <c r="AD44" s="37"/>
      <c r="AE44" s="37"/>
      <c r="AF44" s="37"/>
      <c r="AG44" s="45"/>
      <c r="AH44" s="45"/>
      <c r="AI44" s="45"/>
      <c r="AJ44" s="45"/>
      <c r="AK44" s="45"/>
      <c r="AL44" s="45"/>
      <c r="AM44" s="45"/>
    </row>
    <row r="45">
      <c r="AB45" s="37"/>
      <c r="AC45" s="37"/>
      <c r="AD45" s="37"/>
      <c r="AE45" s="37"/>
      <c r="AF45" s="37"/>
      <c r="AG45" s="45"/>
      <c r="AH45" s="45"/>
      <c r="AI45" s="45"/>
      <c r="AJ45" s="45"/>
      <c r="AK45" s="45"/>
      <c r="AL45" s="45"/>
      <c r="AM45" s="45"/>
    </row>
    <row r="46">
      <c r="AB46" s="37"/>
      <c r="AC46" s="37"/>
      <c r="AD46" s="37"/>
      <c r="AE46" s="37"/>
      <c r="AF46" s="37"/>
      <c r="AG46" s="45"/>
      <c r="AH46" s="45"/>
      <c r="AI46" s="45"/>
      <c r="AJ46" s="45"/>
      <c r="AK46" s="45"/>
      <c r="AL46" s="45"/>
      <c r="AM46" s="45"/>
    </row>
    <row r="47">
      <c r="AB47" s="37"/>
      <c r="AC47" s="37"/>
      <c r="AD47" s="37"/>
      <c r="AE47" s="37"/>
      <c r="AF47" s="37"/>
      <c r="AG47" s="45"/>
      <c r="AH47" s="45"/>
      <c r="AI47" s="45"/>
      <c r="AJ47" s="45"/>
      <c r="AK47" s="45"/>
      <c r="AL47" s="45"/>
      <c r="AM47" s="45"/>
    </row>
    <row r="48">
      <c r="AB48" s="37"/>
      <c r="AC48" s="37"/>
      <c r="AD48" s="37"/>
      <c r="AE48" s="37"/>
      <c r="AF48" s="37"/>
      <c r="AG48" s="45"/>
      <c r="AH48" s="45"/>
      <c r="AI48" s="45"/>
      <c r="AJ48" s="45"/>
      <c r="AK48" s="45"/>
      <c r="AL48" s="45"/>
      <c r="AM48" s="45"/>
    </row>
    <row r="49">
      <c r="AB49" s="37"/>
      <c r="AC49" s="37"/>
      <c r="AD49" s="37"/>
      <c r="AE49" s="37"/>
      <c r="AF49" s="37"/>
      <c r="AG49" s="45"/>
      <c r="AH49" s="45"/>
      <c r="AI49" s="45"/>
      <c r="AJ49" s="45"/>
      <c r="AK49" s="45"/>
      <c r="AL49" s="45"/>
      <c r="AM49" s="45"/>
    </row>
    <row r="50">
      <c r="AG50" s="45"/>
      <c r="AH50" s="45"/>
      <c r="AI50" s="45"/>
      <c r="AJ50" s="45"/>
      <c r="AK50" s="45"/>
      <c r="AL50" s="45"/>
      <c r="AM50" s="45"/>
    </row>
    <row r="51">
      <c r="AG51" s="45"/>
      <c r="AH51" s="45"/>
      <c r="AI51" s="45"/>
      <c r="AJ51" s="45"/>
      <c r="AK51" s="45"/>
      <c r="AL51" s="45"/>
      <c r="AM51" s="45"/>
    </row>
    <row r="52">
      <c r="AG52" s="45"/>
      <c r="AH52" s="45"/>
      <c r="AI52" s="45"/>
      <c r="AJ52" s="45"/>
      <c r="AK52" s="45"/>
      <c r="AL52" s="45"/>
      <c r="AM52" s="45"/>
    </row>
    <row r="53">
      <c r="AG53" s="45"/>
      <c r="AH53" s="45"/>
      <c r="AI53" s="45"/>
      <c r="AJ53" s="45"/>
      <c r="AK53" s="45"/>
      <c r="AL53" s="45"/>
      <c r="AM53" s="45"/>
    </row>
    <row r="54">
      <c r="AG54" s="45"/>
      <c r="AH54" s="45"/>
      <c r="AI54" s="45"/>
      <c r="AJ54" s="45"/>
      <c r="AK54" s="45"/>
      <c r="AL54" s="45"/>
      <c r="AM54" s="45"/>
    </row>
    <row r="55">
      <c r="AG55" s="45"/>
      <c r="AH55" s="45"/>
      <c r="AI55" s="45"/>
      <c r="AJ55" s="45"/>
      <c r="AK55" s="45"/>
      <c r="AL55" s="45"/>
      <c r="AM55" s="45"/>
    </row>
    <row r="56">
      <c r="AG56" s="45"/>
      <c r="AH56" s="45"/>
      <c r="AI56" s="45"/>
      <c r="AJ56" s="45"/>
      <c r="AK56" s="45"/>
      <c r="AL56" s="45"/>
      <c r="AM56" s="45"/>
    </row>
    <row r="57">
      <c r="AG57" s="45"/>
      <c r="AH57" s="45"/>
      <c r="AI57" s="45"/>
      <c r="AJ57" s="45"/>
      <c r="AK57" s="45"/>
      <c r="AL57" s="45"/>
      <c r="AM57" s="45"/>
    </row>
    <row r="58">
      <c r="AG58" s="45"/>
      <c r="AH58" s="45"/>
      <c r="AI58" s="45"/>
      <c r="AJ58" s="45"/>
      <c r="AK58" s="45"/>
      <c r="AL58" s="45"/>
      <c r="AM58" s="45"/>
    </row>
    <row r="59">
      <c r="AG59" s="45"/>
      <c r="AH59" s="45"/>
      <c r="AI59" s="45"/>
      <c r="AJ59" s="45"/>
      <c r="AK59" s="45"/>
      <c r="AL59" s="45"/>
      <c r="AM59" s="45"/>
    </row>
    <row r="60">
      <c r="AG60" s="45"/>
      <c r="AH60" s="45"/>
      <c r="AI60" s="45"/>
      <c r="AJ60" s="45"/>
      <c r="AK60" s="45"/>
      <c r="AL60" s="45"/>
      <c r="AM60" s="45"/>
    </row>
    <row r="61">
      <c r="AG61" s="45"/>
      <c r="AH61" s="45"/>
      <c r="AI61" s="45"/>
      <c r="AJ61" s="45"/>
      <c r="AK61" s="45"/>
      <c r="AL61" s="45"/>
      <c r="AM61" s="45"/>
    </row>
    <row r="62">
      <c r="AG62" s="45"/>
      <c r="AH62" s="45"/>
      <c r="AI62" s="45"/>
      <c r="AJ62" s="45"/>
      <c r="AK62" s="45"/>
      <c r="AL62" s="45"/>
      <c r="AM62" s="45"/>
    </row>
    <row r="63">
      <c r="AG63" s="45"/>
      <c r="AH63" s="45"/>
      <c r="AI63" s="45"/>
      <c r="AJ63" s="45"/>
      <c r="AK63" s="45"/>
      <c r="AL63" s="45"/>
      <c r="AM63" s="45"/>
    </row>
    <row r="64">
      <c r="AG64" s="45"/>
      <c r="AH64" s="45"/>
      <c r="AI64" s="45"/>
      <c r="AJ64" s="45"/>
      <c r="AK64" s="45"/>
      <c r="AL64" s="45"/>
      <c r="AM64" s="45"/>
    </row>
    <row r="65">
      <c r="AG65" s="45"/>
      <c r="AH65" s="45"/>
      <c r="AI65" s="45"/>
      <c r="AJ65" s="45"/>
      <c r="AK65" s="45"/>
      <c r="AL65" s="45"/>
      <c r="AM65" s="45"/>
    </row>
    <row r="66">
      <c r="AG66" s="45"/>
      <c r="AH66" s="45"/>
      <c r="AI66" s="45"/>
      <c r="AJ66" s="45"/>
      <c r="AK66" s="45"/>
      <c r="AL66" s="45"/>
      <c r="AM66" s="45"/>
    </row>
    <row r="67">
      <c r="AG67" s="45"/>
      <c r="AH67" s="45"/>
      <c r="AI67" s="45"/>
      <c r="AJ67" s="45"/>
      <c r="AK67" s="45"/>
      <c r="AL67" s="45"/>
      <c r="AM67" s="45"/>
    </row>
    <row r="68">
      <c r="AG68" s="45"/>
      <c r="AH68" s="45"/>
      <c r="AI68" s="45"/>
      <c r="AJ68" s="45"/>
      <c r="AK68" s="45"/>
      <c r="AL68" s="45"/>
      <c r="AM68" s="45"/>
    </row>
    <row r="69">
      <c r="AG69" s="45"/>
      <c r="AH69" s="45"/>
      <c r="AI69" s="45"/>
      <c r="AJ69" s="45"/>
      <c r="AK69" s="45"/>
      <c r="AL69" s="45"/>
      <c r="AM69" s="45"/>
    </row>
    <row r="70">
      <c r="AG70" s="45"/>
      <c r="AH70" s="45"/>
      <c r="AI70" s="45"/>
      <c r="AJ70" s="45"/>
      <c r="AK70" s="45"/>
      <c r="AL70" s="45"/>
      <c r="AM70" s="45"/>
    </row>
    <row r="71">
      <c r="AG71" s="45"/>
      <c r="AH71" s="45"/>
      <c r="AI71" s="45"/>
      <c r="AJ71" s="45"/>
      <c r="AK71" s="45"/>
      <c r="AL71" s="45"/>
      <c r="AM71" s="45"/>
    </row>
    <row r="72">
      <c r="AG72" s="45"/>
      <c r="AH72" s="45"/>
      <c r="AI72" s="45"/>
      <c r="AJ72" s="45"/>
      <c r="AK72" s="45"/>
      <c r="AL72" s="45"/>
      <c r="AM72" s="45"/>
    </row>
    <row r="73">
      <c r="AG73" s="45"/>
      <c r="AH73" s="45"/>
      <c r="AI73" s="45"/>
      <c r="AJ73" s="45"/>
      <c r="AK73" s="45"/>
      <c r="AL73" s="45"/>
      <c r="AM73" s="45"/>
    </row>
    <row r="74">
      <c r="AG74" s="45"/>
      <c r="AH74" s="45"/>
      <c r="AI74" s="45"/>
      <c r="AJ74" s="45"/>
      <c r="AK74" s="45"/>
      <c r="AL74" s="45"/>
      <c r="AM74" s="45"/>
    </row>
    <row r="75">
      <c r="AG75" s="45"/>
      <c r="AH75" s="45"/>
      <c r="AI75" s="45"/>
      <c r="AJ75" s="45"/>
      <c r="AK75" s="45"/>
      <c r="AL75" s="45"/>
      <c r="AM75" s="45"/>
    </row>
    <row r="76">
      <c r="AG76" s="45"/>
      <c r="AH76" s="45"/>
      <c r="AI76" s="45"/>
      <c r="AJ76" s="45"/>
      <c r="AK76" s="45"/>
      <c r="AL76" s="45"/>
      <c r="AM76" s="45"/>
    </row>
    <row r="77">
      <c r="AG77" s="45"/>
      <c r="AH77" s="45"/>
      <c r="AI77" s="45"/>
      <c r="AJ77" s="45"/>
      <c r="AK77" s="45"/>
      <c r="AL77" s="45"/>
      <c r="AM77" s="45"/>
    </row>
    <row r="78">
      <c r="AG78" s="45"/>
      <c r="AH78" s="45"/>
      <c r="AI78" s="45"/>
      <c r="AJ78" s="45"/>
      <c r="AK78" s="45"/>
      <c r="AL78" s="45"/>
      <c r="AM78" s="45"/>
    </row>
    <row r="79">
      <c r="AG79" s="45"/>
      <c r="AH79" s="45"/>
      <c r="AI79" s="45"/>
      <c r="AJ79" s="45"/>
      <c r="AK79" s="45"/>
      <c r="AL79" s="45"/>
      <c r="AM79" s="45"/>
    </row>
    <row r="80">
      <c r="AG80" s="45"/>
      <c r="AH80" s="45"/>
      <c r="AI80" s="45"/>
      <c r="AJ80" s="45"/>
      <c r="AK80" s="45"/>
      <c r="AL80" s="45"/>
      <c r="AM80" s="45"/>
    </row>
    <row r="81">
      <c r="AG81" s="45"/>
      <c r="AH81" s="45"/>
      <c r="AI81" s="45"/>
      <c r="AJ81" s="45"/>
      <c r="AK81" s="45"/>
      <c r="AL81" s="45"/>
      <c r="AM81" s="45"/>
    </row>
    <row r="82">
      <c r="AG82" s="45"/>
      <c r="AH82" s="45"/>
      <c r="AI82" s="45"/>
      <c r="AJ82" s="45"/>
      <c r="AK82" s="45"/>
      <c r="AL82" s="45"/>
      <c r="AM82" s="45"/>
    </row>
    <row r="83">
      <c r="AG83" s="45"/>
      <c r="AH83" s="45"/>
      <c r="AI83" s="45"/>
      <c r="AJ83" s="45"/>
      <c r="AK83" s="45"/>
      <c r="AL83" s="45"/>
      <c r="AM83" s="45"/>
    </row>
    <row r="84">
      <c r="AG84" s="45"/>
      <c r="AH84" s="45"/>
      <c r="AI84" s="45"/>
      <c r="AJ84" s="45"/>
      <c r="AK84" s="45"/>
      <c r="AL84" s="45"/>
      <c r="AM84" s="45"/>
    </row>
    <row r="85">
      <c r="AG85" s="45"/>
      <c r="AH85" s="45"/>
      <c r="AI85" s="45"/>
      <c r="AJ85" s="45"/>
      <c r="AK85" s="45"/>
      <c r="AL85" s="45"/>
      <c r="AM85" s="45"/>
    </row>
    <row r="86">
      <c r="AG86" s="45"/>
      <c r="AH86" s="45"/>
      <c r="AI86" s="45"/>
      <c r="AJ86" s="45"/>
      <c r="AK86" s="45"/>
      <c r="AL86" s="45"/>
      <c r="AM86" s="45"/>
    </row>
    <row r="87">
      <c r="AG87" s="45"/>
      <c r="AH87" s="45"/>
      <c r="AI87" s="45"/>
      <c r="AJ87" s="45"/>
      <c r="AK87" s="45"/>
      <c r="AL87" s="45"/>
      <c r="AM87" s="45"/>
    </row>
    <row r="88">
      <c r="AG88" s="45"/>
      <c r="AH88" s="45"/>
      <c r="AI88" s="45"/>
      <c r="AJ88" s="45"/>
      <c r="AK88" s="45"/>
      <c r="AL88" s="45"/>
      <c r="AM88" s="45"/>
    </row>
    <row r="89">
      <c r="AG89" s="45"/>
      <c r="AH89" s="45"/>
      <c r="AI89" s="45"/>
      <c r="AJ89" s="45"/>
      <c r="AK89" s="45"/>
      <c r="AL89" s="45"/>
      <c r="AM89" s="45"/>
    </row>
    <row r="90">
      <c r="AG90" s="45"/>
      <c r="AH90" s="45"/>
      <c r="AI90" s="45"/>
      <c r="AJ90" s="45"/>
      <c r="AK90" s="45"/>
      <c r="AL90" s="45"/>
      <c r="AM90" s="45"/>
    </row>
    <row r="91">
      <c r="AG91" s="45"/>
      <c r="AH91" s="45"/>
      <c r="AI91" s="45"/>
      <c r="AJ91" s="45"/>
      <c r="AK91" s="45"/>
      <c r="AL91" s="45"/>
      <c r="AM91" s="45"/>
    </row>
    <row r="92">
      <c r="AG92" s="45"/>
      <c r="AH92" s="45"/>
      <c r="AI92" s="45"/>
      <c r="AJ92" s="45"/>
      <c r="AK92" s="45"/>
      <c r="AL92" s="45"/>
      <c r="AM92" s="45"/>
    </row>
    <row r="93">
      <c r="AG93" s="45"/>
      <c r="AH93" s="45"/>
      <c r="AI93" s="45"/>
      <c r="AJ93" s="45"/>
      <c r="AK93" s="45"/>
      <c r="AL93" s="45"/>
      <c r="AM93" s="45"/>
    </row>
    <row r="94">
      <c r="AG94" s="45"/>
      <c r="AH94" s="45"/>
      <c r="AI94" s="45"/>
      <c r="AJ94" s="45"/>
      <c r="AK94" s="45"/>
      <c r="AL94" s="45"/>
      <c r="AM94" s="45"/>
    </row>
    <row r="95">
      <c r="AG95" s="45"/>
      <c r="AH95" s="45"/>
      <c r="AI95" s="45"/>
      <c r="AJ95" s="45"/>
      <c r="AK95" s="45"/>
      <c r="AL95" s="45"/>
      <c r="AM95" s="45"/>
    </row>
    <row r="96">
      <c r="AG96" s="45"/>
      <c r="AH96" s="45"/>
      <c r="AI96" s="45"/>
      <c r="AJ96" s="45"/>
      <c r="AK96" s="45"/>
      <c r="AL96" s="45"/>
      <c r="AM96" s="45"/>
    </row>
    <row r="97">
      <c r="AG97" s="45"/>
      <c r="AH97" s="45"/>
      <c r="AI97" s="45"/>
      <c r="AJ97" s="45"/>
      <c r="AK97" s="45"/>
      <c r="AL97" s="45"/>
      <c r="AM97" s="45"/>
    </row>
    <row r="98">
      <c r="AG98" s="45"/>
      <c r="AH98" s="45"/>
      <c r="AI98" s="45"/>
      <c r="AJ98" s="45"/>
      <c r="AK98" s="45"/>
      <c r="AL98" s="45"/>
      <c r="AM98" s="45"/>
    </row>
    <row r="99">
      <c r="AG99" s="45"/>
      <c r="AH99" s="45"/>
      <c r="AI99" s="45"/>
      <c r="AJ99" s="45"/>
      <c r="AK99" s="45"/>
      <c r="AL99" s="45"/>
      <c r="AM99" s="45"/>
    </row>
    <row r="100">
      <c r="AG100" s="45"/>
      <c r="AH100" s="45"/>
      <c r="AI100" s="45"/>
      <c r="AJ100" s="45"/>
      <c r="AK100" s="45"/>
      <c r="AL100" s="45"/>
      <c r="AM100" s="45"/>
    </row>
    <row r="101">
      <c r="AG101" s="45"/>
      <c r="AH101" s="45"/>
      <c r="AI101" s="45"/>
      <c r="AJ101" s="45"/>
      <c r="AK101" s="45"/>
      <c r="AL101" s="45"/>
      <c r="AM101" s="45"/>
    </row>
    <row r="102">
      <c r="AG102" s="45"/>
      <c r="AH102" s="45"/>
      <c r="AI102" s="45"/>
      <c r="AJ102" s="45"/>
      <c r="AK102" s="45"/>
      <c r="AL102" s="45"/>
      <c r="AM102" s="45"/>
    </row>
    <row r="103">
      <c r="AG103" s="45"/>
      <c r="AH103" s="45"/>
      <c r="AI103" s="45"/>
      <c r="AJ103" s="45"/>
      <c r="AK103" s="45"/>
      <c r="AL103" s="45"/>
      <c r="AM103" s="45"/>
    </row>
    <row r="104">
      <c r="AG104" s="45"/>
      <c r="AH104" s="45"/>
      <c r="AI104" s="45"/>
      <c r="AJ104" s="45"/>
      <c r="AK104" s="45"/>
      <c r="AL104" s="45"/>
      <c r="AM104" s="45"/>
    </row>
    <row r="105">
      <c r="AG105" s="45"/>
      <c r="AH105" s="45"/>
      <c r="AI105" s="45"/>
      <c r="AJ105" s="45"/>
      <c r="AK105" s="45"/>
      <c r="AL105" s="45"/>
      <c r="AM105" s="45"/>
    </row>
    <row r="106">
      <c r="AG106" s="45"/>
      <c r="AH106" s="45"/>
      <c r="AI106" s="45"/>
      <c r="AJ106" s="45"/>
      <c r="AK106" s="45"/>
      <c r="AL106" s="45"/>
      <c r="AM106" s="45"/>
    </row>
    <row r="107">
      <c r="AG107" s="45"/>
      <c r="AH107" s="45"/>
      <c r="AI107" s="45"/>
      <c r="AJ107" s="45"/>
      <c r="AK107" s="45"/>
      <c r="AL107" s="45"/>
      <c r="AM107" s="45"/>
    </row>
    <row r="108">
      <c r="AG108" s="45"/>
      <c r="AH108" s="45"/>
      <c r="AI108" s="45"/>
      <c r="AJ108" s="45"/>
      <c r="AK108" s="45"/>
      <c r="AL108" s="45"/>
      <c r="AM108" s="45"/>
    </row>
    <row r="109">
      <c r="AG109" s="45"/>
      <c r="AH109" s="45"/>
      <c r="AI109" s="45"/>
      <c r="AJ109" s="45"/>
      <c r="AK109" s="45"/>
      <c r="AL109" s="45"/>
      <c r="AM109" s="45"/>
    </row>
    <row r="110">
      <c r="AG110" s="45"/>
      <c r="AH110" s="45"/>
      <c r="AI110" s="45"/>
      <c r="AJ110" s="45"/>
      <c r="AK110" s="45"/>
      <c r="AL110" s="45"/>
      <c r="AM110" s="45"/>
    </row>
    <row r="111">
      <c r="AG111" s="45"/>
      <c r="AH111" s="45"/>
      <c r="AI111" s="45"/>
      <c r="AJ111" s="45"/>
      <c r="AK111" s="45"/>
      <c r="AL111" s="45"/>
      <c r="AM111" s="45"/>
    </row>
    <row r="112">
      <c r="AG112" s="45"/>
      <c r="AH112" s="45"/>
      <c r="AI112" s="45"/>
      <c r="AJ112" s="45"/>
      <c r="AK112" s="45"/>
      <c r="AL112" s="45"/>
      <c r="AM112" s="45"/>
    </row>
    <row r="113">
      <c r="AG113" s="45"/>
      <c r="AH113" s="45"/>
      <c r="AI113" s="45"/>
      <c r="AJ113" s="45"/>
      <c r="AK113" s="45"/>
      <c r="AL113" s="45"/>
      <c r="AM113" s="45"/>
    </row>
    <row r="114">
      <c r="AG114" s="45"/>
      <c r="AH114" s="45"/>
      <c r="AI114" s="45"/>
      <c r="AJ114" s="45"/>
      <c r="AK114" s="45"/>
      <c r="AL114" s="45"/>
      <c r="AM114" s="45"/>
    </row>
    <row r="115">
      <c r="AG115" s="45"/>
      <c r="AH115" s="45"/>
      <c r="AI115" s="45"/>
      <c r="AJ115" s="45"/>
      <c r="AK115" s="45"/>
      <c r="AL115" s="45"/>
      <c r="AM115" s="45"/>
    </row>
    <row r="116">
      <c r="AG116" s="45"/>
      <c r="AH116" s="45"/>
      <c r="AI116" s="45"/>
      <c r="AJ116" s="45"/>
      <c r="AK116" s="45"/>
      <c r="AL116" s="45"/>
      <c r="AM116" s="45"/>
    </row>
    <row r="117">
      <c r="AG117" s="45"/>
      <c r="AH117" s="45"/>
      <c r="AI117" s="45"/>
      <c r="AJ117" s="45"/>
      <c r="AK117" s="45"/>
      <c r="AL117" s="45"/>
      <c r="AM117" s="45"/>
    </row>
    <row r="118">
      <c r="AG118" s="45"/>
      <c r="AH118" s="45"/>
      <c r="AI118" s="45"/>
      <c r="AJ118" s="45"/>
      <c r="AK118" s="45"/>
      <c r="AL118" s="45"/>
      <c r="AM118" s="45"/>
    </row>
    <row r="119">
      <c r="AG119" s="45"/>
      <c r="AH119" s="45"/>
      <c r="AI119" s="45"/>
      <c r="AJ119" s="45"/>
      <c r="AK119" s="45"/>
      <c r="AL119" s="45"/>
      <c r="AM119" s="45"/>
    </row>
    <row r="120">
      <c r="AG120" s="45"/>
      <c r="AH120" s="45"/>
      <c r="AI120" s="45"/>
      <c r="AJ120" s="45"/>
      <c r="AK120" s="45"/>
      <c r="AL120" s="45"/>
      <c r="AM120" s="45"/>
    </row>
    <row r="121">
      <c r="AG121" s="45"/>
      <c r="AH121" s="45"/>
      <c r="AI121" s="45"/>
      <c r="AJ121" s="45"/>
      <c r="AK121" s="45"/>
      <c r="AL121" s="45"/>
      <c r="AM121" s="45"/>
    </row>
    <row r="122">
      <c r="AG122" s="45"/>
      <c r="AH122" s="45"/>
      <c r="AI122" s="45"/>
      <c r="AJ122" s="45"/>
      <c r="AK122" s="45"/>
      <c r="AL122" s="45"/>
      <c r="AM122" s="45"/>
    </row>
    <row r="123">
      <c r="AG123" s="45"/>
      <c r="AH123" s="45"/>
      <c r="AI123" s="45"/>
      <c r="AJ123" s="45"/>
      <c r="AK123" s="45"/>
      <c r="AL123" s="45"/>
      <c r="AM123" s="45"/>
    </row>
    <row r="124">
      <c r="AG124" s="45"/>
      <c r="AH124" s="45"/>
      <c r="AI124" s="45"/>
      <c r="AJ124" s="45"/>
      <c r="AK124" s="45"/>
      <c r="AL124" s="45"/>
      <c r="AM124" s="45"/>
    </row>
    <row r="125">
      <c r="AG125" s="45"/>
      <c r="AH125" s="45"/>
      <c r="AI125" s="45"/>
      <c r="AJ125" s="45"/>
      <c r="AK125" s="45"/>
      <c r="AL125" s="45"/>
      <c r="AM125" s="45"/>
    </row>
    <row r="126">
      <c r="AG126" s="45"/>
      <c r="AH126" s="45"/>
      <c r="AI126" s="45"/>
      <c r="AJ126" s="45"/>
      <c r="AK126" s="45"/>
      <c r="AL126" s="45"/>
      <c r="AM126" s="45"/>
    </row>
    <row r="127">
      <c r="AG127" s="45"/>
      <c r="AH127" s="45"/>
      <c r="AI127" s="45"/>
      <c r="AJ127" s="45"/>
      <c r="AK127" s="45"/>
      <c r="AL127" s="45"/>
      <c r="AM127" s="45"/>
    </row>
    <row r="128">
      <c r="AG128" s="45"/>
      <c r="AH128" s="45"/>
      <c r="AI128" s="45"/>
      <c r="AJ128" s="45"/>
      <c r="AK128" s="45"/>
      <c r="AL128" s="45"/>
      <c r="AM128" s="45"/>
    </row>
    <row r="129">
      <c r="AG129" s="45"/>
      <c r="AH129" s="45"/>
      <c r="AI129" s="45"/>
      <c r="AJ129" s="45"/>
      <c r="AK129" s="45"/>
      <c r="AL129" s="45"/>
      <c r="AM129" s="45"/>
    </row>
    <row r="130">
      <c r="AG130" s="45"/>
      <c r="AH130" s="45"/>
      <c r="AI130" s="45"/>
      <c r="AJ130" s="45"/>
      <c r="AK130" s="45"/>
      <c r="AL130" s="45"/>
      <c r="AM130" s="45"/>
    </row>
    <row r="131">
      <c r="AG131" s="45"/>
      <c r="AH131" s="45"/>
      <c r="AI131" s="45"/>
      <c r="AJ131" s="45"/>
      <c r="AK131" s="45"/>
      <c r="AL131" s="45"/>
      <c r="AM131" s="45"/>
    </row>
    <row r="132">
      <c r="AG132" s="45"/>
      <c r="AH132" s="45"/>
      <c r="AI132" s="45"/>
      <c r="AJ132" s="45"/>
      <c r="AK132" s="45"/>
      <c r="AL132" s="45"/>
      <c r="AM132" s="45"/>
    </row>
    <row r="133">
      <c r="AG133" s="45"/>
      <c r="AH133" s="45"/>
      <c r="AI133" s="45"/>
      <c r="AJ133" s="45"/>
      <c r="AK133" s="45"/>
      <c r="AL133" s="45"/>
      <c r="AM133" s="45"/>
    </row>
    <row r="134">
      <c r="AG134" s="45"/>
      <c r="AH134" s="45"/>
      <c r="AI134" s="45"/>
      <c r="AJ134" s="45"/>
      <c r="AK134" s="45"/>
      <c r="AL134" s="45"/>
      <c r="AM134" s="45"/>
    </row>
    <row r="135">
      <c r="AG135" s="45"/>
      <c r="AH135" s="45"/>
      <c r="AI135" s="45"/>
      <c r="AJ135" s="45"/>
      <c r="AK135" s="45"/>
      <c r="AL135" s="45"/>
      <c r="AM135" s="45"/>
    </row>
    <row r="136">
      <c r="AG136" s="45"/>
      <c r="AH136" s="45"/>
      <c r="AI136" s="45"/>
      <c r="AJ136" s="45"/>
      <c r="AK136" s="45"/>
      <c r="AL136" s="45"/>
      <c r="AM136" s="45"/>
    </row>
    <row r="137">
      <c r="AG137" s="45"/>
      <c r="AH137" s="45"/>
      <c r="AI137" s="45"/>
      <c r="AJ137" s="45"/>
      <c r="AK137" s="45"/>
      <c r="AL137" s="45"/>
      <c r="AM137" s="45"/>
    </row>
    <row r="138">
      <c r="AG138" s="45"/>
      <c r="AH138" s="45"/>
      <c r="AI138" s="45"/>
      <c r="AJ138" s="45"/>
      <c r="AK138" s="45"/>
      <c r="AL138" s="45"/>
      <c r="AM138" s="45"/>
    </row>
    <row r="139">
      <c r="AG139" s="45"/>
      <c r="AH139" s="45"/>
      <c r="AI139" s="45"/>
      <c r="AJ139" s="45"/>
      <c r="AK139" s="45"/>
      <c r="AL139" s="45"/>
      <c r="AM139" s="45"/>
    </row>
    <row r="140">
      <c r="AG140" s="45"/>
      <c r="AH140" s="45"/>
      <c r="AI140" s="45"/>
      <c r="AJ140" s="45"/>
      <c r="AK140" s="45"/>
      <c r="AL140" s="45"/>
      <c r="AM140" s="45"/>
    </row>
    <row r="141">
      <c r="AG141" s="45"/>
      <c r="AH141" s="45"/>
      <c r="AI141" s="45"/>
      <c r="AJ141" s="45"/>
      <c r="AK141" s="45"/>
      <c r="AL141" s="45"/>
      <c r="AM141" s="45"/>
    </row>
    <row r="142">
      <c r="AG142" s="45"/>
      <c r="AH142" s="45"/>
      <c r="AI142" s="45"/>
      <c r="AJ142" s="45"/>
      <c r="AK142" s="45"/>
      <c r="AL142" s="45"/>
      <c r="AM142" s="45"/>
    </row>
    <row r="143">
      <c r="AG143" s="45"/>
      <c r="AH143" s="45"/>
      <c r="AI143" s="45"/>
      <c r="AJ143" s="45"/>
      <c r="AK143" s="45"/>
      <c r="AL143" s="45"/>
      <c r="AM143" s="45"/>
    </row>
    <row r="144">
      <c r="AG144" s="45"/>
      <c r="AH144" s="45"/>
      <c r="AI144" s="45"/>
      <c r="AJ144" s="45"/>
      <c r="AK144" s="45"/>
      <c r="AL144" s="45"/>
      <c r="AM144" s="45"/>
    </row>
    <row r="145">
      <c r="AG145" s="45"/>
      <c r="AH145" s="45"/>
      <c r="AI145" s="45"/>
      <c r="AJ145" s="45"/>
      <c r="AK145" s="45"/>
      <c r="AL145" s="45"/>
      <c r="AM145" s="45"/>
    </row>
    <row r="146">
      <c r="AG146" s="45"/>
      <c r="AH146" s="45"/>
      <c r="AI146" s="45"/>
      <c r="AJ146" s="45"/>
      <c r="AK146" s="45"/>
      <c r="AL146" s="45"/>
      <c r="AM146" s="45"/>
    </row>
    <row r="147">
      <c r="AG147" s="45"/>
      <c r="AH147" s="45"/>
      <c r="AI147" s="45"/>
      <c r="AJ147" s="45"/>
      <c r="AK147" s="45"/>
      <c r="AL147" s="45"/>
      <c r="AM147" s="45"/>
    </row>
    <row r="148">
      <c r="AG148" s="45"/>
      <c r="AH148" s="45"/>
      <c r="AI148" s="45"/>
      <c r="AJ148" s="45"/>
      <c r="AK148" s="45"/>
      <c r="AL148" s="45"/>
      <c r="AM148" s="45"/>
    </row>
    <row r="149">
      <c r="AG149" s="45"/>
      <c r="AH149" s="45"/>
      <c r="AI149" s="45"/>
      <c r="AJ149" s="45"/>
      <c r="AK149" s="45"/>
      <c r="AL149" s="45"/>
      <c r="AM149" s="45"/>
    </row>
    <row r="150">
      <c r="AG150" s="45"/>
      <c r="AH150" s="45"/>
      <c r="AI150" s="45"/>
      <c r="AJ150" s="45"/>
      <c r="AK150" s="45"/>
      <c r="AL150" s="45"/>
      <c r="AM150" s="45"/>
    </row>
    <row r="151">
      <c r="AG151" s="45"/>
      <c r="AH151" s="45"/>
      <c r="AI151" s="45"/>
      <c r="AJ151" s="45"/>
      <c r="AK151" s="45"/>
      <c r="AL151" s="45"/>
      <c r="AM151" s="45"/>
    </row>
    <row r="152">
      <c r="AG152" s="45"/>
      <c r="AH152" s="45"/>
      <c r="AI152" s="45"/>
      <c r="AJ152" s="45"/>
      <c r="AK152" s="45"/>
      <c r="AL152" s="45"/>
      <c r="AM152" s="45"/>
    </row>
    <row r="153">
      <c r="AG153" s="45"/>
      <c r="AH153" s="45"/>
      <c r="AI153" s="45"/>
      <c r="AJ153" s="45"/>
      <c r="AK153" s="45"/>
      <c r="AL153" s="45"/>
      <c r="AM153" s="45"/>
    </row>
    <row r="154">
      <c r="AG154" s="45"/>
      <c r="AH154" s="45"/>
      <c r="AI154" s="45"/>
      <c r="AJ154" s="45"/>
      <c r="AK154" s="45"/>
      <c r="AL154" s="45"/>
      <c r="AM154" s="45"/>
    </row>
    <row r="155">
      <c r="AG155" s="45"/>
      <c r="AH155" s="45"/>
      <c r="AI155" s="45"/>
      <c r="AJ155" s="45"/>
      <c r="AK155" s="45"/>
      <c r="AL155" s="45"/>
      <c r="AM155" s="45"/>
    </row>
    <row r="156">
      <c r="AG156" s="45"/>
      <c r="AH156" s="45"/>
      <c r="AI156" s="45"/>
      <c r="AJ156" s="45"/>
      <c r="AK156" s="45"/>
      <c r="AL156" s="45"/>
      <c r="AM156" s="45"/>
    </row>
    <row r="157">
      <c r="AG157" s="45"/>
      <c r="AH157" s="45"/>
      <c r="AI157" s="45"/>
      <c r="AJ157" s="45"/>
      <c r="AK157" s="45"/>
      <c r="AL157" s="45"/>
      <c r="AM157" s="45"/>
    </row>
    <row r="158">
      <c r="AG158" s="45"/>
      <c r="AH158" s="45"/>
      <c r="AI158" s="45"/>
      <c r="AJ158" s="45"/>
      <c r="AK158" s="45"/>
      <c r="AL158" s="45"/>
      <c r="AM158" s="45"/>
    </row>
    <row r="159">
      <c r="AG159" s="45"/>
      <c r="AH159" s="45"/>
      <c r="AI159" s="45"/>
      <c r="AJ159" s="45"/>
      <c r="AK159" s="45"/>
      <c r="AL159" s="45"/>
      <c r="AM159" s="45"/>
    </row>
    <row r="160">
      <c r="AG160" s="45"/>
      <c r="AH160" s="45"/>
      <c r="AI160" s="45"/>
      <c r="AJ160" s="45"/>
      <c r="AK160" s="45"/>
      <c r="AL160" s="45"/>
      <c r="AM160" s="45"/>
    </row>
    <row r="161">
      <c r="AG161" s="45"/>
      <c r="AH161" s="45"/>
      <c r="AI161" s="45"/>
      <c r="AJ161" s="45"/>
      <c r="AK161" s="45"/>
      <c r="AL161" s="45"/>
      <c r="AM161" s="45"/>
    </row>
    <row r="162">
      <c r="AG162" s="45"/>
      <c r="AH162" s="45"/>
      <c r="AI162" s="45"/>
      <c r="AJ162" s="45"/>
      <c r="AK162" s="45"/>
      <c r="AL162" s="45"/>
      <c r="AM162" s="45"/>
    </row>
    <row r="163">
      <c r="AG163" s="45"/>
      <c r="AH163" s="45"/>
      <c r="AI163" s="45"/>
      <c r="AJ163" s="45"/>
      <c r="AK163" s="45"/>
      <c r="AL163" s="45"/>
      <c r="AM163" s="45"/>
    </row>
    <row r="164">
      <c r="AG164" s="45"/>
      <c r="AH164" s="45"/>
      <c r="AI164" s="45"/>
      <c r="AJ164" s="45"/>
      <c r="AK164" s="45"/>
      <c r="AL164" s="45"/>
      <c r="AM164" s="45"/>
    </row>
    <row r="165">
      <c r="AG165" s="45"/>
      <c r="AH165" s="45"/>
      <c r="AI165" s="45"/>
      <c r="AJ165" s="45"/>
      <c r="AK165" s="45"/>
      <c r="AL165" s="45"/>
      <c r="AM165" s="45"/>
    </row>
    <row r="166">
      <c r="AG166" s="45"/>
      <c r="AH166" s="45"/>
      <c r="AI166" s="45"/>
      <c r="AJ166" s="45"/>
      <c r="AK166" s="45"/>
      <c r="AL166" s="45"/>
      <c r="AM166" s="45"/>
    </row>
    <row r="167">
      <c r="AG167" s="45"/>
      <c r="AH167" s="45"/>
      <c r="AI167" s="45"/>
      <c r="AJ167" s="45"/>
      <c r="AK167" s="45"/>
      <c r="AL167" s="45"/>
      <c r="AM167" s="45"/>
    </row>
    <row r="168">
      <c r="AG168" s="45"/>
      <c r="AH168" s="45"/>
      <c r="AI168" s="45"/>
      <c r="AJ168" s="45"/>
      <c r="AK168" s="45"/>
      <c r="AL168" s="45"/>
      <c r="AM168" s="45"/>
    </row>
    <row r="169">
      <c r="AG169" s="45"/>
      <c r="AH169" s="45"/>
      <c r="AI169" s="45"/>
      <c r="AJ169" s="45"/>
      <c r="AK169" s="45"/>
      <c r="AL169" s="45"/>
      <c r="AM169" s="45"/>
    </row>
    <row r="170">
      <c r="AG170" s="45"/>
      <c r="AH170" s="45"/>
      <c r="AI170" s="45"/>
      <c r="AJ170" s="45"/>
      <c r="AK170" s="45"/>
      <c r="AL170" s="45"/>
      <c r="AM170" s="45"/>
    </row>
    <row r="171">
      <c r="AG171" s="45"/>
      <c r="AH171" s="45"/>
      <c r="AI171" s="45"/>
      <c r="AJ171" s="45"/>
      <c r="AK171" s="45"/>
      <c r="AL171" s="45"/>
      <c r="AM171" s="45"/>
    </row>
    <row r="172">
      <c r="AG172" s="45"/>
      <c r="AH172" s="45"/>
      <c r="AI172" s="45"/>
      <c r="AJ172" s="45"/>
      <c r="AK172" s="45"/>
      <c r="AL172" s="45"/>
      <c r="AM172" s="45"/>
    </row>
    <row r="173">
      <c r="AG173" s="45"/>
      <c r="AH173" s="45"/>
      <c r="AI173" s="45"/>
      <c r="AJ173" s="45"/>
      <c r="AK173" s="45"/>
      <c r="AL173" s="45"/>
      <c r="AM173" s="45"/>
    </row>
    <row r="174">
      <c r="AG174" s="45"/>
      <c r="AH174" s="45"/>
      <c r="AI174" s="45"/>
      <c r="AJ174" s="45"/>
      <c r="AK174" s="45"/>
      <c r="AL174" s="45"/>
      <c r="AM174" s="45"/>
    </row>
    <row r="175">
      <c r="AG175" s="45"/>
      <c r="AH175" s="45"/>
      <c r="AI175" s="45"/>
      <c r="AJ175" s="45"/>
      <c r="AK175" s="45"/>
      <c r="AL175" s="45"/>
      <c r="AM175" s="45"/>
    </row>
    <row r="176">
      <c r="AG176" s="45"/>
      <c r="AH176" s="45"/>
      <c r="AI176" s="45"/>
      <c r="AJ176" s="45"/>
      <c r="AK176" s="45"/>
      <c r="AL176" s="45"/>
      <c r="AM176" s="45"/>
    </row>
    <row r="177">
      <c r="AG177" s="45"/>
      <c r="AH177" s="45"/>
      <c r="AI177" s="45"/>
      <c r="AJ177" s="45"/>
      <c r="AK177" s="45"/>
      <c r="AL177" s="45"/>
      <c r="AM177" s="45"/>
    </row>
    <row r="178">
      <c r="AG178" s="45"/>
      <c r="AH178" s="45"/>
      <c r="AI178" s="45"/>
      <c r="AJ178" s="45"/>
      <c r="AK178" s="45"/>
      <c r="AL178" s="45"/>
      <c r="AM178" s="45"/>
    </row>
    <row r="179">
      <c r="AG179" s="45"/>
      <c r="AH179" s="45"/>
      <c r="AI179" s="45"/>
      <c r="AJ179" s="45"/>
      <c r="AK179" s="45"/>
      <c r="AL179" s="45"/>
      <c r="AM179" s="45"/>
    </row>
    <row r="180">
      <c r="AG180" s="45"/>
      <c r="AH180" s="45"/>
      <c r="AI180" s="45"/>
      <c r="AJ180" s="45"/>
      <c r="AK180" s="45"/>
      <c r="AL180" s="45"/>
      <c r="AM180" s="45"/>
    </row>
    <row r="181">
      <c r="AG181" s="45"/>
      <c r="AH181" s="45"/>
      <c r="AI181" s="45"/>
      <c r="AJ181" s="45"/>
      <c r="AK181" s="45"/>
      <c r="AL181" s="45"/>
      <c r="AM181" s="45"/>
    </row>
    <row r="182">
      <c r="AG182" s="45"/>
      <c r="AH182" s="45"/>
      <c r="AI182" s="45"/>
      <c r="AJ182" s="45"/>
      <c r="AK182" s="45"/>
      <c r="AL182" s="45"/>
      <c r="AM182" s="45"/>
    </row>
    <row r="183">
      <c r="AG183" s="45"/>
      <c r="AH183" s="45"/>
      <c r="AI183" s="45"/>
      <c r="AJ183" s="45"/>
      <c r="AK183" s="45"/>
      <c r="AL183" s="45"/>
      <c r="AM183" s="45"/>
    </row>
    <row r="184">
      <c r="AG184" s="45"/>
      <c r="AH184" s="45"/>
      <c r="AI184" s="45"/>
      <c r="AJ184" s="45"/>
      <c r="AK184" s="45"/>
      <c r="AL184" s="45"/>
      <c r="AM184" s="45"/>
    </row>
    <row r="185">
      <c r="AG185" s="45"/>
      <c r="AH185" s="45"/>
      <c r="AI185" s="45"/>
      <c r="AJ185" s="45"/>
      <c r="AK185" s="45"/>
      <c r="AL185" s="45"/>
      <c r="AM185" s="45"/>
    </row>
    <row r="186">
      <c r="AG186" s="45"/>
      <c r="AH186" s="45"/>
      <c r="AI186" s="45"/>
      <c r="AJ186" s="45"/>
      <c r="AK186" s="45"/>
      <c r="AL186" s="45"/>
      <c r="AM186" s="45"/>
    </row>
    <row r="187">
      <c r="AG187" s="45"/>
      <c r="AH187" s="45"/>
      <c r="AI187" s="45"/>
      <c r="AJ187" s="45"/>
      <c r="AK187" s="45"/>
      <c r="AL187" s="45"/>
      <c r="AM187" s="45"/>
    </row>
    <row r="188">
      <c r="AG188" s="45"/>
      <c r="AH188" s="45"/>
      <c r="AI188" s="45"/>
      <c r="AJ188" s="45"/>
      <c r="AK188" s="45"/>
      <c r="AL188" s="45"/>
      <c r="AM188" s="45"/>
    </row>
    <row r="189">
      <c r="AG189" s="45"/>
      <c r="AH189" s="45"/>
      <c r="AI189" s="45"/>
      <c r="AJ189" s="45"/>
      <c r="AK189" s="45"/>
      <c r="AL189" s="45"/>
      <c r="AM189" s="45"/>
    </row>
    <row r="190">
      <c r="AG190" s="45"/>
      <c r="AH190" s="45"/>
      <c r="AI190" s="45"/>
      <c r="AJ190" s="45"/>
      <c r="AK190" s="45"/>
      <c r="AL190" s="45"/>
      <c r="AM190" s="45"/>
    </row>
    <row r="191">
      <c r="AG191" s="45"/>
      <c r="AH191" s="45"/>
      <c r="AI191" s="45"/>
      <c r="AJ191" s="45"/>
      <c r="AK191" s="45"/>
      <c r="AL191" s="45"/>
      <c r="AM191" s="45"/>
    </row>
    <row r="192">
      <c r="AG192" s="45"/>
      <c r="AH192" s="45"/>
      <c r="AI192" s="45"/>
      <c r="AJ192" s="45"/>
      <c r="AK192" s="45"/>
      <c r="AL192" s="45"/>
      <c r="AM192" s="45"/>
    </row>
    <row r="193">
      <c r="AG193" s="45"/>
      <c r="AH193" s="45"/>
      <c r="AI193" s="45"/>
      <c r="AJ193" s="45"/>
      <c r="AK193" s="45"/>
      <c r="AL193" s="45"/>
      <c r="AM193" s="45"/>
    </row>
    <row r="194">
      <c r="AG194" s="45"/>
      <c r="AH194" s="45"/>
      <c r="AI194" s="45"/>
      <c r="AJ194" s="45"/>
      <c r="AK194" s="45"/>
      <c r="AL194" s="45"/>
      <c r="AM194" s="45"/>
    </row>
    <row r="195">
      <c r="AG195" s="45"/>
      <c r="AH195" s="45"/>
      <c r="AI195" s="45"/>
      <c r="AJ195" s="45"/>
      <c r="AK195" s="45"/>
      <c r="AL195" s="45"/>
      <c r="AM195" s="45"/>
    </row>
    <row r="196">
      <c r="AG196" s="45"/>
      <c r="AH196" s="45"/>
      <c r="AI196" s="45"/>
      <c r="AJ196" s="45"/>
      <c r="AK196" s="45"/>
      <c r="AL196" s="45"/>
      <c r="AM196" s="45"/>
    </row>
    <row r="197">
      <c r="AG197" s="45"/>
      <c r="AH197" s="45"/>
      <c r="AI197" s="45"/>
      <c r="AJ197" s="45"/>
      <c r="AK197" s="45"/>
      <c r="AL197" s="45"/>
      <c r="AM197" s="45"/>
    </row>
    <row r="198">
      <c r="AG198" s="45"/>
      <c r="AH198" s="45"/>
      <c r="AI198" s="45"/>
      <c r="AJ198" s="45"/>
      <c r="AK198" s="45"/>
      <c r="AL198" s="45"/>
      <c r="AM198" s="45"/>
    </row>
    <row r="199">
      <c r="AG199" s="45"/>
      <c r="AH199" s="45"/>
      <c r="AI199" s="45"/>
      <c r="AJ199" s="45"/>
      <c r="AK199" s="45"/>
      <c r="AL199" s="45"/>
      <c r="AM199" s="45"/>
    </row>
    <row r="200">
      <c r="AG200" s="45"/>
      <c r="AH200" s="45"/>
      <c r="AI200" s="45"/>
      <c r="AJ200" s="45"/>
      <c r="AK200" s="45"/>
      <c r="AL200" s="45"/>
      <c r="AM200" s="45"/>
    </row>
    <row r="201">
      <c r="AG201" s="45"/>
      <c r="AH201" s="45"/>
      <c r="AI201" s="45"/>
      <c r="AJ201" s="45"/>
      <c r="AK201" s="45"/>
      <c r="AL201" s="45"/>
      <c r="AM201" s="45"/>
    </row>
    <row r="202">
      <c r="AG202" s="45"/>
      <c r="AH202" s="45"/>
      <c r="AI202" s="45"/>
      <c r="AJ202" s="45"/>
      <c r="AK202" s="45"/>
      <c r="AL202" s="45"/>
      <c r="AM202" s="45"/>
    </row>
    <row r="203">
      <c r="AG203" s="45"/>
      <c r="AH203" s="45"/>
      <c r="AI203" s="45"/>
      <c r="AJ203" s="45"/>
      <c r="AK203" s="45"/>
      <c r="AL203" s="45"/>
      <c r="AM203" s="45"/>
    </row>
    <row r="204">
      <c r="AG204" s="45"/>
      <c r="AH204" s="45"/>
      <c r="AI204" s="45"/>
      <c r="AJ204" s="45"/>
      <c r="AK204" s="45"/>
      <c r="AL204" s="45"/>
      <c r="AM204" s="45"/>
    </row>
    <row r="205">
      <c r="AG205" s="45"/>
      <c r="AH205" s="45"/>
      <c r="AI205" s="45"/>
      <c r="AJ205" s="45"/>
      <c r="AK205" s="45"/>
      <c r="AL205" s="45"/>
      <c r="AM205" s="45"/>
    </row>
    <row r="206">
      <c r="AG206" s="45"/>
      <c r="AH206" s="45"/>
      <c r="AI206" s="45"/>
      <c r="AJ206" s="45"/>
      <c r="AK206" s="45"/>
      <c r="AL206" s="45"/>
      <c r="AM206" s="45"/>
    </row>
    <row r="207">
      <c r="AG207" s="45"/>
      <c r="AH207" s="45"/>
      <c r="AI207" s="45"/>
      <c r="AJ207" s="45"/>
      <c r="AK207" s="45"/>
      <c r="AL207" s="45"/>
      <c r="AM207" s="45"/>
    </row>
    <row r="208">
      <c r="AG208" s="45"/>
      <c r="AH208" s="45"/>
      <c r="AI208" s="45"/>
      <c r="AJ208" s="45"/>
      <c r="AK208" s="45"/>
      <c r="AL208" s="45"/>
      <c r="AM208" s="45"/>
    </row>
    <row r="209">
      <c r="AG209" s="45"/>
      <c r="AH209" s="45"/>
      <c r="AI209" s="45"/>
      <c r="AJ209" s="45"/>
      <c r="AK209" s="45"/>
      <c r="AL209" s="45"/>
      <c r="AM209" s="45"/>
    </row>
    <row r="210">
      <c r="AG210" s="45"/>
      <c r="AH210" s="45"/>
      <c r="AI210" s="45"/>
      <c r="AJ210" s="45"/>
      <c r="AK210" s="45"/>
      <c r="AL210" s="45"/>
      <c r="AM210" s="45"/>
    </row>
    <row r="211">
      <c r="AG211" s="45"/>
      <c r="AH211" s="45"/>
      <c r="AI211" s="45"/>
      <c r="AJ211" s="45"/>
      <c r="AK211" s="45"/>
      <c r="AL211" s="45"/>
      <c r="AM211" s="45"/>
    </row>
    <row r="212">
      <c r="AG212" s="45"/>
      <c r="AH212" s="45"/>
      <c r="AI212" s="45"/>
      <c r="AJ212" s="45"/>
      <c r="AK212" s="45"/>
      <c r="AL212" s="45"/>
      <c r="AM212" s="45"/>
    </row>
    <row r="213">
      <c r="AG213" s="45"/>
      <c r="AH213" s="45"/>
      <c r="AI213" s="45"/>
      <c r="AJ213" s="45"/>
      <c r="AK213" s="45"/>
      <c r="AL213" s="45"/>
      <c r="AM213" s="45"/>
    </row>
    <row r="214">
      <c r="AG214" s="45"/>
      <c r="AH214" s="45"/>
      <c r="AI214" s="45"/>
      <c r="AJ214" s="45"/>
      <c r="AK214" s="45"/>
      <c r="AL214" s="45"/>
      <c r="AM214" s="45"/>
    </row>
    <row r="215">
      <c r="AG215" s="45"/>
      <c r="AH215" s="45"/>
      <c r="AI215" s="45"/>
      <c r="AJ215" s="45"/>
      <c r="AK215" s="45"/>
      <c r="AL215" s="45"/>
      <c r="AM215" s="45"/>
    </row>
    <row r="216">
      <c r="AG216" s="45"/>
      <c r="AH216" s="45"/>
      <c r="AI216" s="45"/>
      <c r="AJ216" s="45"/>
      <c r="AK216" s="45"/>
      <c r="AL216" s="45"/>
      <c r="AM216" s="45"/>
    </row>
    <row r="217">
      <c r="AG217" s="45"/>
      <c r="AH217" s="45"/>
      <c r="AI217" s="45"/>
      <c r="AJ217" s="45"/>
      <c r="AK217" s="45"/>
      <c r="AL217" s="45"/>
      <c r="AM217" s="45"/>
    </row>
    <row r="218">
      <c r="AG218" s="45"/>
      <c r="AH218" s="45"/>
      <c r="AI218" s="45"/>
      <c r="AJ218" s="45"/>
      <c r="AK218" s="45"/>
      <c r="AL218" s="45"/>
      <c r="AM218" s="45"/>
    </row>
    <row r="219">
      <c r="AG219" s="45"/>
      <c r="AH219" s="45"/>
      <c r="AI219" s="45"/>
      <c r="AJ219" s="45"/>
      <c r="AK219" s="45"/>
      <c r="AL219" s="45"/>
      <c r="AM219" s="45"/>
    </row>
    <row r="220">
      <c r="AG220" s="45"/>
      <c r="AH220" s="45"/>
      <c r="AI220" s="45"/>
      <c r="AJ220" s="45"/>
      <c r="AK220" s="45"/>
      <c r="AL220" s="45"/>
      <c r="AM220" s="45"/>
    </row>
    <row r="221">
      <c r="AG221" s="45"/>
      <c r="AH221" s="45"/>
      <c r="AI221" s="45"/>
      <c r="AJ221" s="45"/>
      <c r="AK221" s="45"/>
      <c r="AL221" s="45"/>
      <c r="AM221" s="45"/>
    </row>
    <row r="222">
      <c r="AG222" s="45"/>
      <c r="AH222" s="45"/>
      <c r="AI222" s="45"/>
      <c r="AJ222" s="45"/>
      <c r="AK222" s="45"/>
      <c r="AL222" s="45"/>
      <c r="AM222" s="45"/>
    </row>
    <row r="223">
      <c r="AG223" s="45"/>
      <c r="AH223" s="45"/>
      <c r="AI223" s="45"/>
      <c r="AJ223" s="45"/>
      <c r="AK223" s="45"/>
      <c r="AL223" s="45"/>
      <c r="AM223" s="45"/>
    </row>
    <row r="224">
      <c r="AG224" s="45"/>
      <c r="AH224" s="45"/>
      <c r="AI224" s="45"/>
      <c r="AJ224" s="45"/>
      <c r="AK224" s="45"/>
      <c r="AL224" s="45"/>
      <c r="AM224" s="45"/>
    </row>
    <row r="225">
      <c r="AG225" s="45"/>
      <c r="AH225" s="45"/>
      <c r="AI225" s="45"/>
      <c r="AJ225" s="45"/>
      <c r="AK225" s="45"/>
      <c r="AL225" s="45"/>
      <c r="AM225" s="45"/>
    </row>
    <row r="226">
      <c r="AG226" s="45"/>
      <c r="AH226" s="45"/>
      <c r="AI226" s="45"/>
      <c r="AJ226" s="45"/>
      <c r="AK226" s="45"/>
      <c r="AL226" s="45"/>
      <c r="AM226" s="45"/>
    </row>
    <row r="227">
      <c r="AG227" s="45"/>
      <c r="AH227" s="45"/>
      <c r="AI227" s="45"/>
      <c r="AJ227" s="45"/>
      <c r="AK227" s="45"/>
      <c r="AL227" s="45"/>
      <c r="AM227" s="45"/>
    </row>
    <row r="228">
      <c r="AG228" s="45"/>
      <c r="AH228" s="45"/>
      <c r="AI228" s="45"/>
      <c r="AJ228" s="45"/>
      <c r="AK228" s="45"/>
      <c r="AL228" s="45"/>
      <c r="AM228" s="45"/>
    </row>
    <row r="229">
      <c r="AG229" s="45"/>
      <c r="AH229" s="45"/>
      <c r="AI229" s="45"/>
      <c r="AJ229" s="45"/>
      <c r="AK229" s="45"/>
      <c r="AL229" s="45"/>
      <c r="AM229" s="45"/>
    </row>
    <row r="230">
      <c r="AG230" s="45"/>
      <c r="AH230" s="45"/>
      <c r="AI230" s="45"/>
      <c r="AJ230" s="45"/>
      <c r="AK230" s="45"/>
      <c r="AL230" s="45"/>
      <c r="AM230" s="45"/>
    </row>
    <row r="231">
      <c r="AG231" s="45"/>
      <c r="AH231" s="45"/>
      <c r="AI231" s="45"/>
      <c r="AJ231" s="45"/>
      <c r="AK231" s="45"/>
      <c r="AL231" s="45"/>
      <c r="AM231" s="45"/>
    </row>
    <row r="232">
      <c r="AG232" s="45"/>
      <c r="AH232" s="45"/>
      <c r="AI232" s="45"/>
      <c r="AJ232" s="45"/>
      <c r="AK232" s="45"/>
      <c r="AL232" s="45"/>
      <c r="AM232" s="45"/>
    </row>
    <row r="233">
      <c r="AG233" s="45"/>
      <c r="AH233" s="45"/>
      <c r="AI233" s="45"/>
      <c r="AJ233" s="45"/>
      <c r="AK233" s="45"/>
      <c r="AL233" s="45"/>
      <c r="AM233" s="45"/>
    </row>
    <row r="234">
      <c r="AG234" s="45"/>
      <c r="AH234" s="45"/>
      <c r="AI234" s="45"/>
      <c r="AJ234" s="45"/>
      <c r="AK234" s="45"/>
      <c r="AL234" s="45"/>
      <c r="AM234" s="45"/>
    </row>
    <row r="235">
      <c r="AG235" s="45"/>
      <c r="AH235" s="45"/>
      <c r="AI235" s="45"/>
      <c r="AJ235" s="45"/>
      <c r="AK235" s="45"/>
      <c r="AL235" s="45"/>
      <c r="AM235" s="45"/>
    </row>
    <row r="236">
      <c r="AG236" s="45"/>
      <c r="AH236" s="45"/>
      <c r="AI236" s="45"/>
      <c r="AJ236" s="45"/>
      <c r="AK236" s="45"/>
      <c r="AL236" s="45"/>
      <c r="AM236" s="45"/>
    </row>
    <row r="237">
      <c r="AG237" s="45"/>
      <c r="AH237" s="45"/>
      <c r="AI237" s="45"/>
      <c r="AJ237" s="45"/>
      <c r="AK237" s="45"/>
      <c r="AL237" s="45"/>
      <c r="AM237" s="45"/>
    </row>
    <row r="238">
      <c r="AG238" s="45"/>
      <c r="AH238" s="45"/>
      <c r="AI238" s="45"/>
      <c r="AJ238" s="45"/>
      <c r="AK238" s="45"/>
      <c r="AL238" s="45"/>
      <c r="AM238" s="45"/>
    </row>
    <row r="239">
      <c r="AG239" s="45"/>
      <c r="AH239" s="45"/>
      <c r="AI239" s="45"/>
      <c r="AJ239" s="45"/>
      <c r="AK239" s="45"/>
      <c r="AL239" s="45"/>
      <c r="AM239" s="45"/>
    </row>
    <row r="240">
      <c r="AG240" s="45"/>
      <c r="AH240" s="45"/>
      <c r="AI240" s="45"/>
      <c r="AJ240" s="45"/>
      <c r="AK240" s="45"/>
      <c r="AL240" s="45"/>
      <c r="AM240" s="45"/>
    </row>
    <row r="241">
      <c r="AG241" s="45"/>
      <c r="AH241" s="45"/>
      <c r="AI241" s="45"/>
      <c r="AJ241" s="45"/>
      <c r="AK241" s="45"/>
      <c r="AL241" s="45"/>
      <c r="AM241" s="45"/>
    </row>
    <row r="242">
      <c r="AG242" s="45"/>
      <c r="AH242" s="45"/>
      <c r="AI242" s="45"/>
      <c r="AJ242" s="45"/>
      <c r="AK242" s="45"/>
      <c r="AL242" s="45"/>
      <c r="AM242" s="45"/>
    </row>
    <row r="243">
      <c r="AG243" s="45"/>
      <c r="AH243" s="45"/>
      <c r="AI243" s="45"/>
      <c r="AJ243" s="45"/>
      <c r="AK243" s="45"/>
      <c r="AL243" s="45"/>
      <c r="AM243" s="45"/>
    </row>
    <row r="244">
      <c r="AG244" s="45"/>
      <c r="AH244" s="45"/>
      <c r="AI244" s="45"/>
      <c r="AJ244" s="45"/>
      <c r="AK244" s="45"/>
      <c r="AL244" s="45"/>
      <c r="AM244" s="45"/>
    </row>
    <row r="245">
      <c r="AG245" s="45"/>
      <c r="AH245" s="45"/>
      <c r="AI245" s="45"/>
      <c r="AJ245" s="45"/>
      <c r="AK245" s="45"/>
      <c r="AL245" s="45"/>
      <c r="AM245" s="45"/>
    </row>
    <row r="246">
      <c r="AG246" s="45"/>
      <c r="AH246" s="45"/>
      <c r="AI246" s="45"/>
      <c r="AJ246" s="45"/>
      <c r="AK246" s="45"/>
      <c r="AL246" s="45"/>
      <c r="AM246" s="45"/>
    </row>
    <row r="247">
      <c r="AG247" s="45"/>
      <c r="AH247" s="45"/>
      <c r="AI247" s="45"/>
      <c r="AJ247" s="45"/>
      <c r="AK247" s="45"/>
      <c r="AL247" s="45"/>
      <c r="AM247" s="45"/>
    </row>
    <row r="248">
      <c r="AG248" s="45"/>
      <c r="AH248" s="45"/>
      <c r="AI248" s="45"/>
      <c r="AJ248" s="45"/>
      <c r="AK248" s="45"/>
      <c r="AL248" s="45"/>
      <c r="AM248" s="45"/>
    </row>
    <row r="249">
      <c r="AG249" s="45"/>
      <c r="AH249" s="45"/>
      <c r="AI249" s="45"/>
      <c r="AJ249" s="45"/>
      <c r="AK249" s="45"/>
      <c r="AL249" s="45"/>
      <c r="AM249" s="45"/>
    </row>
    <row r="250">
      <c r="AG250" s="45"/>
      <c r="AH250" s="45"/>
      <c r="AI250" s="45"/>
      <c r="AJ250" s="45"/>
      <c r="AK250" s="45"/>
      <c r="AL250" s="45"/>
      <c r="AM250" s="45"/>
    </row>
    <row r="251">
      <c r="AG251" s="45"/>
      <c r="AH251" s="45"/>
      <c r="AI251" s="45"/>
      <c r="AJ251" s="45"/>
      <c r="AK251" s="45"/>
      <c r="AL251" s="45"/>
      <c r="AM251" s="45"/>
    </row>
    <row r="252">
      <c r="AG252" s="45"/>
      <c r="AH252" s="45"/>
      <c r="AI252" s="45"/>
      <c r="AJ252" s="45"/>
      <c r="AK252" s="45"/>
      <c r="AL252" s="45"/>
      <c r="AM252" s="45"/>
    </row>
    <row r="253">
      <c r="AG253" s="45"/>
      <c r="AH253" s="45"/>
      <c r="AI253" s="45"/>
      <c r="AJ253" s="45"/>
      <c r="AK253" s="45"/>
      <c r="AL253" s="45"/>
      <c r="AM253" s="45"/>
    </row>
    <row r="254">
      <c r="AG254" s="45"/>
      <c r="AH254" s="45"/>
      <c r="AI254" s="45"/>
      <c r="AJ254" s="45"/>
      <c r="AK254" s="45"/>
      <c r="AL254" s="45"/>
      <c r="AM254" s="45"/>
    </row>
    <row r="255">
      <c r="AG255" s="45"/>
      <c r="AH255" s="45"/>
      <c r="AI255" s="45"/>
      <c r="AJ255" s="45"/>
      <c r="AK255" s="45"/>
      <c r="AL255" s="45"/>
      <c r="AM255" s="45"/>
    </row>
    <row r="256">
      <c r="AG256" s="45"/>
      <c r="AH256" s="45"/>
      <c r="AI256" s="45"/>
      <c r="AJ256" s="45"/>
      <c r="AK256" s="45"/>
      <c r="AL256" s="45"/>
      <c r="AM256" s="45"/>
    </row>
    <row r="257">
      <c r="AG257" s="45"/>
      <c r="AH257" s="45"/>
      <c r="AI257" s="45"/>
      <c r="AJ257" s="45"/>
      <c r="AK257" s="45"/>
      <c r="AL257" s="45"/>
      <c r="AM257" s="45"/>
    </row>
    <row r="258">
      <c r="AG258" s="45"/>
      <c r="AH258" s="45"/>
      <c r="AI258" s="45"/>
      <c r="AJ258" s="45"/>
      <c r="AK258" s="45"/>
      <c r="AL258" s="45"/>
      <c r="AM258" s="45"/>
    </row>
    <row r="259">
      <c r="AG259" s="45"/>
      <c r="AH259" s="45"/>
      <c r="AI259" s="45"/>
      <c r="AJ259" s="45"/>
      <c r="AK259" s="45"/>
      <c r="AL259" s="45"/>
      <c r="AM259" s="45"/>
    </row>
    <row r="260">
      <c r="AG260" s="45"/>
      <c r="AH260" s="45"/>
      <c r="AI260" s="45"/>
      <c r="AJ260" s="45"/>
      <c r="AK260" s="45"/>
      <c r="AL260" s="45"/>
      <c r="AM260" s="45"/>
    </row>
    <row r="261">
      <c r="AG261" s="45"/>
      <c r="AH261" s="45"/>
      <c r="AI261" s="45"/>
      <c r="AJ261" s="45"/>
      <c r="AK261" s="45"/>
      <c r="AL261" s="45"/>
      <c r="AM261" s="45"/>
    </row>
    <row r="262">
      <c r="AG262" s="45"/>
      <c r="AH262" s="45"/>
      <c r="AI262" s="45"/>
      <c r="AJ262" s="45"/>
      <c r="AK262" s="45"/>
      <c r="AL262" s="45"/>
      <c r="AM262" s="45"/>
    </row>
    <row r="263">
      <c r="AG263" s="45"/>
      <c r="AH263" s="45"/>
      <c r="AI263" s="45"/>
      <c r="AJ263" s="45"/>
      <c r="AK263" s="45"/>
      <c r="AL263" s="45"/>
      <c r="AM263" s="45"/>
    </row>
    <row r="264">
      <c r="AG264" s="45"/>
      <c r="AH264" s="45"/>
      <c r="AI264" s="45"/>
      <c r="AJ264" s="45"/>
      <c r="AK264" s="45"/>
      <c r="AL264" s="45"/>
      <c r="AM264" s="45"/>
    </row>
    <row r="265">
      <c r="AG265" s="45"/>
      <c r="AH265" s="45"/>
      <c r="AI265" s="45"/>
      <c r="AJ265" s="45"/>
      <c r="AK265" s="45"/>
      <c r="AL265" s="45"/>
      <c r="AM265" s="45"/>
    </row>
    <row r="266">
      <c r="AG266" s="45"/>
      <c r="AH266" s="45"/>
      <c r="AI266" s="45"/>
      <c r="AJ266" s="45"/>
      <c r="AK266" s="45"/>
      <c r="AL266" s="45"/>
      <c r="AM266" s="45"/>
    </row>
    <row r="267">
      <c r="AG267" s="45"/>
      <c r="AH267" s="45"/>
      <c r="AI267" s="45"/>
      <c r="AJ267" s="45"/>
      <c r="AK267" s="45"/>
      <c r="AL267" s="45"/>
      <c r="AM267" s="45"/>
    </row>
    <row r="268">
      <c r="AG268" s="45"/>
      <c r="AH268" s="45"/>
      <c r="AI268" s="45"/>
      <c r="AJ268" s="45"/>
      <c r="AK268" s="45"/>
      <c r="AL268" s="45"/>
      <c r="AM268" s="45"/>
    </row>
    <row r="269">
      <c r="AG269" s="45"/>
      <c r="AH269" s="45"/>
      <c r="AI269" s="45"/>
      <c r="AJ269" s="45"/>
      <c r="AK269" s="45"/>
      <c r="AL269" s="45"/>
      <c r="AM269" s="45"/>
    </row>
    <row r="270">
      <c r="AG270" s="45"/>
      <c r="AH270" s="45"/>
      <c r="AI270" s="45"/>
      <c r="AJ270" s="45"/>
      <c r="AK270" s="45"/>
      <c r="AL270" s="45"/>
      <c r="AM270" s="45"/>
    </row>
    <row r="271">
      <c r="AG271" s="45"/>
      <c r="AH271" s="45"/>
      <c r="AI271" s="45"/>
      <c r="AJ271" s="45"/>
      <c r="AK271" s="45"/>
      <c r="AL271" s="45"/>
      <c r="AM271" s="45"/>
    </row>
    <row r="272">
      <c r="AG272" s="45"/>
      <c r="AH272" s="45"/>
      <c r="AI272" s="45"/>
      <c r="AJ272" s="45"/>
      <c r="AK272" s="45"/>
      <c r="AL272" s="45"/>
      <c r="AM272" s="45"/>
    </row>
    <row r="273">
      <c r="AG273" s="45"/>
      <c r="AH273" s="45"/>
      <c r="AI273" s="45"/>
      <c r="AJ273" s="45"/>
      <c r="AK273" s="45"/>
      <c r="AL273" s="45"/>
      <c r="AM273" s="45"/>
    </row>
    <row r="274">
      <c r="AG274" s="45"/>
      <c r="AH274" s="45"/>
      <c r="AI274" s="45"/>
      <c r="AJ274" s="45"/>
      <c r="AK274" s="45"/>
      <c r="AL274" s="45"/>
      <c r="AM274" s="45"/>
    </row>
    <row r="275">
      <c r="AG275" s="45"/>
      <c r="AH275" s="45"/>
      <c r="AI275" s="45"/>
      <c r="AJ275" s="45"/>
      <c r="AK275" s="45"/>
      <c r="AL275" s="45"/>
      <c r="AM275" s="45"/>
    </row>
    <row r="276">
      <c r="AG276" s="45"/>
      <c r="AH276" s="45"/>
      <c r="AI276" s="45"/>
      <c r="AJ276" s="45"/>
      <c r="AK276" s="45"/>
      <c r="AL276" s="45"/>
      <c r="AM276" s="45"/>
    </row>
    <row r="277">
      <c r="AG277" s="45"/>
      <c r="AH277" s="45"/>
      <c r="AI277" s="45"/>
      <c r="AJ277" s="45"/>
      <c r="AK277" s="45"/>
      <c r="AL277" s="45"/>
      <c r="AM277" s="45"/>
    </row>
    <row r="278">
      <c r="AG278" s="45"/>
      <c r="AH278" s="45"/>
      <c r="AI278" s="45"/>
      <c r="AJ278" s="45"/>
      <c r="AK278" s="45"/>
      <c r="AL278" s="45"/>
      <c r="AM278" s="45"/>
    </row>
    <row r="279">
      <c r="AG279" s="45"/>
      <c r="AH279" s="45"/>
      <c r="AI279" s="45"/>
      <c r="AJ279" s="45"/>
      <c r="AK279" s="45"/>
      <c r="AL279" s="45"/>
      <c r="AM279" s="45"/>
    </row>
    <row r="280">
      <c r="AG280" s="45"/>
      <c r="AH280" s="45"/>
      <c r="AI280" s="45"/>
      <c r="AJ280" s="45"/>
      <c r="AK280" s="45"/>
      <c r="AL280" s="45"/>
      <c r="AM280" s="45"/>
    </row>
    <row r="281">
      <c r="AG281" s="45"/>
      <c r="AH281" s="45"/>
      <c r="AI281" s="45"/>
      <c r="AJ281" s="45"/>
      <c r="AK281" s="45"/>
      <c r="AL281" s="45"/>
      <c r="AM281" s="45"/>
    </row>
    <row r="282">
      <c r="AG282" s="45"/>
      <c r="AH282" s="45"/>
      <c r="AI282" s="45"/>
      <c r="AJ282" s="45"/>
      <c r="AK282" s="45"/>
      <c r="AL282" s="45"/>
      <c r="AM282" s="45"/>
    </row>
    <row r="283">
      <c r="AG283" s="45"/>
      <c r="AH283" s="45"/>
      <c r="AI283" s="45"/>
      <c r="AJ283" s="45"/>
      <c r="AK283" s="45"/>
      <c r="AL283" s="45"/>
      <c r="AM283" s="45"/>
    </row>
    <row r="284">
      <c r="AG284" s="45"/>
      <c r="AH284" s="45"/>
      <c r="AI284" s="45"/>
      <c r="AJ284" s="45"/>
      <c r="AK284" s="45"/>
      <c r="AL284" s="45"/>
      <c r="AM284" s="45"/>
    </row>
    <row r="285">
      <c r="AG285" s="45"/>
      <c r="AH285" s="45"/>
      <c r="AI285" s="45"/>
      <c r="AJ285" s="45"/>
      <c r="AK285" s="45"/>
      <c r="AL285" s="45"/>
      <c r="AM285" s="45"/>
    </row>
    <row r="286">
      <c r="AG286" s="45"/>
      <c r="AH286" s="45"/>
      <c r="AI286" s="45"/>
      <c r="AJ286" s="45"/>
      <c r="AK286" s="45"/>
      <c r="AL286" s="45"/>
      <c r="AM286" s="45"/>
    </row>
    <row r="287">
      <c r="AG287" s="45"/>
      <c r="AH287" s="45"/>
      <c r="AI287" s="45"/>
      <c r="AJ287" s="45"/>
      <c r="AK287" s="45"/>
      <c r="AL287" s="45"/>
      <c r="AM287" s="45"/>
    </row>
    <row r="288">
      <c r="AG288" s="45"/>
      <c r="AH288" s="45"/>
      <c r="AI288" s="45"/>
      <c r="AJ288" s="45"/>
      <c r="AK288" s="45"/>
      <c r="AL288" s="45"/>
      <c r="AM288" s="45"/>
    </row>
    <row r="289">
      <c r="AG289" s="45"/>
      <c r="AH289" s="45"/>
      <c r="AI289" s="45"/>
      <c r="AJ289" s="45"/>
      <c r="AK289" s="45"/>
      <c r="AL289" s="45"/>
      <c r="AM289" s="45"/>
    </row>
    <row r="290">
      <c r="AG290" s="45"/>
      <c r="AH290" s="45"/>
      <c r="AI290" s="45"/>
      <c r="AJ290" s="45"/>
      <c r="AK290" s="45"/>
      <c r="AL290" s="45"/>
      <c r="AM290" s="45"/>
    </row>
    <row r="291">
      <c r="AG291" s="45"/>
      <c r="AH291" s="45"/>
      <c r="AI291" s="45"/>
      <c r="AJ291" s="45"/>
      <c r="AK291" s="45"/>
      <c r="AL291" s="45"/>
      <c r="AM291" s="45"/>
    </row>
    <row r="292">
      <c r="AG292" s="45"/>
      <c r="AH292" s="45"/>
      <c r="AI292" s="45"/>
      <c r="AJ292" s="45"/>
      <c r="AK292" s="45"/>
      <c r="AL292" s="45"/>
      <c r="AM292" s="45"/>
    </row>
    <row r="293">
      <c r="AG293" s="45"/>
      <c r="AH293" s="45"/>
      <c r="AI293" s="45"/>
      <c r="AJ293" s="45"/>
      <c r="AK293" s="45"/>
      <c r="AL293" s="45"/>
      <c r="AM293" s="45"/>
    </row>
    <row r="294">
      <c r="AG294" s="45"/>
      <c r="AH294" s="45"/>
      <c r="AI294" s="45"/>
      <c r="AJ294" s="45"/>
      <c r="AK294" s="45"/>
      <c r="AL294" s="45"/>
      <c r="AM294" s="45"/>
    </row>
    <row r="295">
      <c r="AG295" s="45"/>
      <c r="AH295" s="45"/>
      <c r="AI295" s="45"/>
      <c r="AJ295" s="45"/>
      <c r="AK295" s="45"/>
      <c r="AL295" s="45"/>
      <c r="AM295" s="45"/>
    </row>
    <row r="296">
      <c r="AG296" s="45"/>
      <c r="AH296" s="45"/>
      <c r="AI296" s="45"/>
      <c r="AJ296" s="45"/>
      <c r="AK296" s="45"/>
      <c r="AL296" s="45"/>
      <c r="AM296" s="45"/>
    </row>
    <row r="297">
      <c r="AG297" s="45"/>
      <c r="AH297" s="45"/>
      <c r="AI297" s="45"/>
      <c r="AJ297" s="45"/>
      <c r="AK297" s="45"/>
      <c r="AL297" s="45"/>
      <c r="AM297" s="45"/>
    </row>
    <row r="298">
      <c r="AG298" s="45"/>
      <c r="AH298" s="45"/>
      <c r="AI298" s="45"/>
      <c r="AJ298" s="45"/>
      <c r="AK298" s="45"/>
      <c r="AL298" s="45"/>
      <c r="AM298" s="45"/>
    </row>
    <row r="299">
      <c r="AG299" s="45"/>
      <c r="AH299" s="45"/>
      <c r="AI299" s="45"/>
      <c r="AJ299" s="45"/>
      <c r="AK299" s="45"/>
      <c r="AL299" s="45"/>
      <c r="AM299" s="45"/>
    </row>
    <row r="300">
      <c r="AG300" s="45"/>
      <c r="AH300" s="45"/>
      <c r="AI300" s="45"/>
      <c r="AJ300" s="45"/>
      <c r="AK300" s="45"/>
      <c r="AL300" s="45"/>
      <c r="AM300" s="45"/>
    </row>
    <row r="301">
      <c r="AG301" s="45"/>
      <c r="AH301" s="45"/>
      <c r="AI301" s="45"/>
      <c r="AJ301" s="45"/>
      <c r="AK301" s="45"/>
      <c r="AL301" s="45"/>
      <c r="AM301" s="45"/>
    </row>
    <row r="302">
      <c r="AG302" s="45"/>
      <c r="AH302" s="45"/>
      <c r="AI302" s="45"/>
      <c r="AJ302" s="45"/>
      <c r="AK302" s="45"/>
      <c r="AL302" s="45"/>
      <c r="AM302" s="45"/>
    </row>
    <row r="303">
      <c r="AG303" s="45"/>
      <c r="AH303" s="45"/>
      <c r="AI303" s="45"/>
      <c r="AJ303" s="45"/>
      <c r="AK303" s="45"/>
      <c r="AL303" s="45"/>
      <c r="AM303" s="45"/>
    </row>
    <row r="304">
      <c r="AG304" s="45"/>
      <c r="AH304" s="45"/>
      <c r="AI304" s="45"/>
      <c r="AJ304" s="45"/>
      <c r="AK304" s="45"/>
      <c r="AL304" s="45"/>
      <c r="AM304" s="45"/>
    </row>
    <row r="305">
      <c r="AG305" s="45"/>
      <c r="AH305" s="45"/>
      <c r="AI305" s="45"/>
      <c r="AJ305" s="45"/>
      <c r="AK305" s="45"/>
      <c r="AL305" s="45"/>
      <c r="AM305" s="45"/>
    </row>
    <row r="306">
      <c r="AG306" s="45"/>
      <c r="AH306" s="45"/>
      <c r="AI306" s="45"/>
      <c r="AJ306" s="45"/>
      <c r="AK306" s="45"/>
      <c r="AL306" s="45"/>
      <c r="AM306" s="45"/>
    </row>
    <row r="307">
      <c r="AG307" s="45"/>
      <c r="AH307" s="45"/>
      <c r="AI307" s="45"/>
      <c r="AJ307" s="45"/>
      <c r="AK307" s="45"/>
      <c r="AL307" s="45"/>
      <c r="AM307" s="45"/>
    </row>
    <row r="308">
      <c r="AG308" s="45"/>
      <c r="AH308" s="45"/>
      <c r="AI308" s="45"/>
      <c r="AJ308" s="45"/>
      <c r="AK308" s="45"/>
      <c r="AL308" s="45"/>
      <c r="AM308" s="45"/>
    </row>
    <row r="309">
      <c r="AG309" s="45"/>
      <c r="AH309" s="45"/>
      <c r="AI309" s="45"/>
      <c r="AJ309" s="45"/>
      <c r="AK309" s="45"/>
      <c r="AL309" s="45"/>
      <c r="AM309" s="45"/>
    </row>
    <row r="310">
      <c r="AG310" s="45"/>
      <c r="AH310" s="45"/>
      <c r="AI310" s="45"/>
      <c r="AJ310" s="45"/>
      <c r="AK310" s="45"/>
      <c r="AL310" s="45"/>
      <c r="AM310" s="45"/>
    </row>
    <row r="311">
      <c r="AG311" s="45"/>
      <c r="AH311" s="45"/>
      <c r="AI311" s="45"/>
      <c r="AJ311" s="45"/>
      <c r="AK311" s="45"/>
      <c r="AL311" s="45"/>
      <c r="AM311" s="45"/>
    </row>
    <row r="312">
      <c r="AG312" s="45"/>
      <c r="AH312" s="45"/>
      <c r="AI312" s="45"/>
      <c r="AJ312" s="45"/>
      <c r="AK312" s="45"/>
      <c r="AL312" s="45"/>
      <c r="AM312" s="45"/>
    </row>
    <row r="313">
      <c r="AG313" s="45"/>
      <c r="AH313" s="45"/>
      <c r="AI313" s="45"/>
      <c r="AJ313" s="45"/>
      <c r="AK313" s="45"/>
      <c r="AL313" s="45"/>
      <c r="AM313" s="45"/>
    </row>
    <row r="314">
      <c r="AG314" s="45"/>
      <c r="AH314" s="45"/>
      <c r="AI314" s="45"/>
      <c r="AJ314" s="45"/>
      <c r="AK314" s="45"/>
      <c r="AL314" s="45"/>
      <c r="AM314" s="45"/>
    </row>
    <row r="315">
      <c r="AG315" s="45"/>
      <c r="AH315" s="45"/>
      <c r="AI315" s="45"/>
      <c r="AJ315" s="45"/>
      <c r="AK315" s="45"/>
      <c r="AL315" s="45"/>
      <c r="AM315" s="45"/>
    </row>
    <row r="316">
      <c r="AG316" s="45"/>
      <c r="AH316" s="45"/>
      <c r="AI316" s="45"/>
      <c r="AJ316" s="45"/>
      <c r="AK316" s="45"/>
      <c r="AL316" s="45"/>
      <c r="AM316" s="45"/>
    </row>
    <row r="317">
      <c r="AG317" s="45"/>
      <c r="AH317" s="45"/>
      <c r="AI317" s="45"/>
      <c r="AJ317" s="45"/>
      <c r="AK317" s="45"/>
      <c r="AL317" s="45"/>
      <c r="AM317" s="45"/>
    </row>
    <row r="318">
      <c r="AG318" s="45"/>
      <c r="AH318" s="45"/>
      <c r="AI318" s="45"/>
      <c r="AJ318" s="45"/>
      <c r="AK318" s="45"/>
      <c r="AL318" s="45"/>
      <c r="AM318" s="45"/>
    </row>
    <row r="319">
      <c r="AG319" s="45"/>
      <c r="AH319" s="45"/>
      <c r="AI319" s="45"/>
      <c r="AJ319" s="45"/>
      <c r="AK319" s="45"/>
      <c r="AL319" s="45"/>
      <c r="AM319" s="45"/>
    </row>
    <row r="320">
      <c r="AG320" s="45"/>
      <c r="AH320" s="45"/>
      <c r="AI320" s="45"/>
      <c r="AJ320" s="45"/>
      <c r="AK320" s="45"/>
      <c r="AL320" s="45"/>
      <c r="AM320" s="45"/>
    </row>
    <row r="321">
      <c r="AG321" s="45"/>
      <c r="AH321" s="45"/>
      <c r="AI321" s="45"/>
      <c r="AJ321" s="45"/>
      <c r="AK321" s="45"/>
      <c r="AL321" s="45"/>
      <c r="AM321" s="45"/>
    </row>
    <row r="322">
      <c r="AG322" s="45"/>
      <c r="AH322" s="45"/>
      <c r="AI322" s="45"/>
      <c r="AJ322" s="45"/>
      <c r="AK322" s="45"/>
      <c r="AL322" s="45"/>
      <c r="AM322" s="45"/>
    </row>
    <row r="323">
      <c r="AG323" s="45"/>
      <c r="AH323" s="45"/>
      <c r="AI323" s="45"/>
      <c r="AJ323" s="45"/>
      <c r="AK323" s="45"/>
      <c r="AL323" s="45"/>
      <c r="AM323" s="45"/>
    </row>
    <row r="324">
      <c r="AG324" s="45"/>
      <c r="AH324" s="45"/>
      <c r="AI324" s="45"/>
      <c r="AJ324" s="45"/>
      <c r="AK324" s="45"/>
      <c r="AL324" s="45"/>
      <c r="AM324" s="45"/>
    </row>
    <row r="325">
      <c r="AG325" s="45"/>
      <c r="AH325" s="45"/>
      <c r="AI325" s="45"/>
      <c r="AJ325" s="45"/>
      <c r="AK325" s="45"/>
      <c r="AL325" s="45"/>
      <c r="AM325" s="45"/>
    </row>
    <row r="326">
      <c r="AG326" s="45"/>
      <c r="AH326" s="45"/>
      <c r="AI326" s="45"/>
      <c r="AJ326" s="45"/>
      <c r="AK326" s="45"/>
      <c r="AL326" s="45"/>
      <c r="AM326" s="45"/>
    </row>
    <row r="327">
      <c r="AG327" s="45"/>
      <c r="AH327" s="45"/>
      <c r="AI327" s="45"/>
      <c r="AJ327" s="45"/>
      <c r="AK327" s="45"/>
      <c r="AL327" s="45"/>
      <c r="AM327" s="45"/>
    </row>
    <row r="328">
      <c r="AG328" s="45"/>
      <c r="AH328" s="45"/>
      <c r="AI328" s="45"/>
      <c r="AJ328" s="45"/>
      <c r="AK328" s="45"/>
      <c r="AL328" s="45"/>
      <c r="AM328" s="45"/>
    </row>
    <row r="329">
      <c r="AG329" s="45"/>
      <c r="AH329" s="45"/>
      <c r="AI329" s="45"/>
      <c r="AJ329" s="45"/>
      <c r="AK329" s="45"/>
      <c r="AL329" s="45"/>
      <c r="AM329" s="45"/>
    </row>
    <row r="330">
      <c r="AG330" s="45"/>
      <c r="AH330" s="45"/>
      <c r="AI330" s="45"/>
      <c r="AJ330" s="45"/>
      <c r="AK330" s="45"/>
      <c r="AL330" s="45"/>
      <c r="AM330" s="45"/>
    </row>
    <row r="331">
      <c r="AG331" s="45"/>
      <c r="AH331" s="45"/>
      <c r="AI331" s="45"/>
      <c r="AJ331" s="45"/>
      <c r="AK331" s="45"/>
      <c r="AL331" s="45"/>
      <c r="AM331" s="45"/>
    </row>
    <row r="332">
      <c r="AG332" s="45"/>
      <c r="AH332" s="45"/>
      <c r="AI332" s="45"/>
      <c r="AJ332" s="45"/>
      <c r="AK332" s="45"/>
      <c r="AL332" s="45"/>
      <c r="AM332" s="45"/>
    </row>
    <row r="333">
      <c r="AG333" s="45"/>
      <c r="AH333" s="45"/>
      <c r="AI333" s="45"/>
      <c r="AJ333" s="45"/>
      <c r="AK333" s="45"/>
      <c r="AL333" s="45"/>
      <c r="AM333" s="45"/>
    </row>
    <row r="334">
      <c r="AG334" s="45"/>
      <c r="AH334" s="45"/>
      <c r="AI334" s="45"/>
      <c r="AJ334" s="45"/>
      <c r="AK334" s="45"/>
      <c r="AL334" s="45"/>
      <c r="AM334" s="45"/>
    </row>
    <row r="335">
      <c r="AG335" s="45"/>
      <c r="AH335" s="45"/>
      <c r="AI335" s="45"/>
      <c r="AJ335" s="45"/>
      <c r="AK335" s="45"/>
      <c r="AL335" s="45"/>
      <c r="AM335" s="45"/>
    </row>
    <row r="336">
      <c r="AG336" s="45"/>
      <c r="AH336" s="45"/>
      <c r="AI336" s="45"/>
      <c r="AJ336" s="45"/>
      <c r="AK336" s="45"/>
      <c r="AL336" s="45"/>
      <c r="AM336" s="45"/>
    </row>
    <row r="337">
      <c r="AG337" s="45"/>
      <c r="AH337" s="45"/>
      <c r="AI337" s="45"/>
      <c r="AJ337" s="45"/>
      <c r="AK337" s="45"/>
      <c r="AL337" s="45"/>
      <c r="AM337" s="45"/>
    </row>
    <row r="338">
      <c r="AG338" s="45"/>
      <c r="AH338" s="45"/>
      <c r="AI338" s="45"/>
      <c r="AJ338" s="45"/>
      <c r="AK338" s="45"/>
      <c r="AL338" s="45"/>
      <c r="AM338" s="45"/>
    </row>
    <row r="339">
      <c r="AG339" s="45"/>
      <c r="AH339" s="45"/>
      <c r="AI339" s="45"/>
      <c r="AJ339" s="45"/>
      <c r="AK339" s="45"/>
      <c r="AL339" s="45"/>
      <c r="AM339" s="45"/>
    </row>
    <row r="340">
      <c r="AG340" s="45"/>
      <c r="AH340" s="45"/>
      <c r="AI340" s="45"/>
      <c r="AJ340" s="45"/>
      <c r="AK340" s="45"/>
      <c r="AL340" s="45"/>
      <c r="AM340" s="45"/>
    </row>
    <row r="341">
      <c r="AG341" s="45"/>
      <c r="AH341" s="45"/>
      <c r="AI341" s="45"/>
      <c r="AJ341" s="45"/>
      <c r="AK341" s="45"/>
      <c r="AL341" s="45"/>
      <c r="AM341" s="45"/>
    </row>
    <row r="342">
      <c r="AG342" s="45"/>
      <c r="AH342" s="45"/>
      <c r="AI342" s="45"/>
      <c r="AJ342" s="45"/>
      <c r="AK342" s="45"/>
      <c r="AL342" s="45"/>
      <c r="AM342" s="45"/>
    </row>
    <row r="343">
      <c r="AG343" s="45"/>
      <c r="AH343" s="45"/>
      <c r="AI343" s="45"/>
      <c r="AJ343" s="45"/>
      <c r="AK343" s="45"/>
      <c r="AL343" s="45"/>
      <c r="AM343" s="45"/>
    </row>
    <row r="344">
      <c r="AG344" s="45"/>
      <c r="AH344" s="45"/>
      <c r="AI344" s="45"/>
      <c r="AJ344" s="45"/>
      <c r="AK344" s="45"/>
      <c r="AL344" s="45"/>
      <c r="AM344" s="45"/>
    </row>
    <row r="345">
      <c r="AG345" s="45"/>
      <c r="AH345" s="45"/>
      <c r="AI345" s="45"/>
      <c r="AJ345" s="45"/>
      <c r="AK345" s="45"/>
      <c r="AL345" s="45"/>
      <c r="AM345" s="45"/>
    </row>
    <row r="346">
      <c r="AG346" s="45"/>
      <c r="AH346" s="45"/>
      <c r="AI346" s="45"/>
      <c r="AJ346" s="45"/>
      <c r="AK346" s="45"/>
      <c r="AL346" s="45"/>
      <c r="AM346" s="45"/>
    </row>
    <row r="347">
      <c r="AG347" s="45"/>
      <c r="AH347" s="45"/>
      <c r="AI347" s="45"/>
      <c r="AJ347" s="45"/>
      <c r="AK347" s="45"/>
      <c r="AL347" s="45"/>
      <c r="AM347" s="45"/>
    </row>
    <row r="348">
      <c r="AG348" s="45"/>
      <c r="AH348" s="45"/>
      <c r="AI348" s="45"/>
      <c r="AJ348" s="45"/>
      <c r="AK348" s="45"/>
      <c r="AL348" s="45"/>
      <c r="AM348" s="45"/>
    </row>
    <row r="349">
      <c r="AG349" s="45"/>
      <c r="AH349" s="45"/>
      <c r="AI349" s="45"/>
      <c r="AJ349" s="45"/>
      <c r="AK349" s="45"/>
      <c r="AL349" s="45"/>
      <c r="AM349" s="45"/>
    </row>
    <row r="350">
      <c r="AG350" s="45"/>
      <c r="AH350" s="45"/>
      <c r="AI350" s="45"/>
      <c r="AJ350" s="45"/>
      <c r="AK350" s="45"/>
      <c r="AL350" s="45"/>
      <c r="AM350" s="45"/>
    </row>
    <row r="351">
      <c r="AG351" s="45"/>
      <c r="AH351" s="45"/>
      <c r="AI351" s="45"/>
      <c r="AJ351" s="45"/>
      <c r="AK351" s="45"/>
      <c r="AL351" s="45"/>
      <c r="AM351" s="45"/>
    </row>
    <row r="352">
      <c r="AG352" s="45"/>
      <c r="AH352" s="45"/>
      <c r="AI352" s="45"/>
      <c r="AJ352" s="45"/>
      <c r="AK352" s="45"/>
      <c r="AL352" s="45"/>
      <c r="AM352" s="45"/>
    </row>
    <row r="353">
      <c r="AG353" s="45"/>
      <c r="AH353" s="45"/>
      <c r="AI353" s="45"/>
      <c r="AJ353" s="45"/>
      <c r="AK353" s="45"/>
      <c r="AL353" s="45"/>
      <c r="AM353" s="45"/>
    </row>
    <row r="354">
      <c r="AG354" s="45"/>
      <c r="AH354" s="45"/>
      <c r="AI354" s="45"/>
      <c r="AJ354" s="45"/>
      <c r="AK354" s="45"/>
      <c r="AL354" s="45"/>
      <c r="AM354" s="45"/>
    </row>
    <row r="355">
      <c r="AG355" s="45"/>
      <c r="AH355" s="45"/>
      <c r="AI355" s="45"/>
      <c r="AJ355" s="45"/>
      <c r="AK355" s="45"/>
      <c r="AL355" s="45"/>
      <c r="AM355" s="45"/>
    </row>
    <row r="356">
      <c r="AG356" s="45"/>
      <c r="AH356" s="45"/>
      <c r="AI356" s="45"/>
      <c r="AJ356" s="45"/>
      <c r="AK356" s="45"/>
      <c r="AL356" s="45"/>
      <c r="AM356" s="45"/>
    </row>
    <row r="357">
      <c r="AG357" s="45"/>
      <c r="AH357" s="45"/>
      <c r="AI357" s="45"/>
      <c r="AJ357" s="45"/>
      <c r="AK357" s="45"/>
      <c r="AL357" s="45"/>
      <c r="AM357" s="45"/>
    </row>
    <row r="358">
      <c r="AG358" s="45"/>
      <c r="AH358" s="45"/>
      <c r="AI358" s="45"/>
      <c r="AJ358" s="45"/>
      <c r="AK358" s="45"/>
      <c r="AL358" s="45"/>
      <c r="AM358" s="45"/>
    </row>
    <row r="359">
      <c r="AG359" s="45"/>
      <c r="AH359" s="45"/>
      <c r="AI359" s="45"/>
      <c r="AJ359" s="45"/>
      <c r="AK359" s="45"/>
      <c r="AL359" s="45"/>
      <c r="AM359" s="45"/>
    </row>
    <row r="360">
      <c r="AG360" s="45"/>
      <c r="AH360" s="45"/>
      <c r="AI360" s="45"/>
      <c r="AJ360" s="45"/>
      <c r="AK360" s="45"/>
      <c r="AL360" s="45"/>
      <c r="AM360" s="45"/>
    </row>
    <row r="361">
      <c r="AG361" s="45"/>
      <c r="AH361" s="45"/>
      <c r="AI361" s="45"/>
      <c r="AJ361" s="45"/>
      <c r="AK361" s="45"/>
      <c r="AL361" s="45"/>
      <c r="AM361" s="45"/>
    </row>
    <row r="362">
      <c r="AG362" s="45"/>
      <c r="AH362" s="45"/>
      <c r="AI362" s="45"/>
      <c r="AJ362" s="45"/>
      <c r="AK362" s="45"/>
      <c r="AL362" s="45"/>
      <c r="AM362" s="45"/>
    </row>
    <row r="363">
      <c r="AG363" s="45"/>
      <c r="AH363" s="45"/>
      <c r="AI363" s="45"/>
      <c r="AJ363" s="45"/>
      <c r="AK363" s="45"/>
      <c r="AL363" s="45"/>
      <c r="AM363" s="45"/>
    </row>
    <row r="364">
      <c r="AG364" s="45"/>
      <c r="AH364" s="45"/>
      <c r="AI364" s="45"/>
      <c r="AJ364" s="45"/>
      <c r="AK364" s="45"/>
      <c r="AL364" s="45"/>
      <c r="AM364" s="45"/>
    </row>
    <row r="365">
      <c r="AG365" s="45"/>
      <c r="AH365" s="45"/>
      <c r="AI365" s="45"/>
      <c r="AJ365" s="45"/>
      <c r="AK365" s="45"/>
      <c r="AL365" s="45"/>
      <c r="AM365" s="45"/>
    </row>
    <row r="366">
      <c r="AG366" s="45"/>
      <c r="AH366" s="45"/>
      <c r="AI366" s="45"/>
      <c r="AJ366" s="45"/>
      <c r="AK366" s="45"/>
      <c r="AL366" s="45"/>
      <c r="AM366" s="45"/>
    </row>
    <row r="367">
      <c r="AG367" s="45"/>
      <c r="AH367" s="45"/>
      <c r="AI367" s="45"/>
      <c r="AJ367" s="45"/>
      <c r="AK367" s="45"/>
      <c r="AL367" s="45"/>
      <c r="AM367" s="45"/>
    </row>
    <row r="368">
      <c r="AG368" s="45"/>
      <c r="AH368" s="45"/>
      <c r="AI368" s="45"/>
      <c r="AJ368" s="45"/>
      <c r="AK368" s="45"/>
      <c r="AL368" s="45"/>
      <c r="AM368" s="45"/>
    </row>
    <row r="369">
      <c r="AG369" s="45"/>
      <c r="AH369" s="45"/>
      <c r="AI369" s="45"/>
      <c r="AJ369" s="45"/>
      <c r="AK369" s="45"/>
      <c r="AL369" s="45"/>
      <c r="AM369" s="45"/>
    </row>
    <row r="370">
      <c r="AG370" s="45"/>
      <c r="AH370" s="45"/>
      <c r="AI370" s="45"/>
      <c r="AJ370" s="45"/>
      <c r="AK370" s="45"/>
      <c r="AL370" s="45"/>
      <c r="AM370" s="45"/>
    </row>
    <row r="371">
      <c r="AG371" s="45"/>
      <c r="AH371" s="45"/>
      <c r="AI371" s="45"/>
      <c r="AJ371" s="45"/>
      <c r="AK371" s="45"/>
      <c r="AL371" s="45"/>
      <c r="AM371" s="45"/>
    </row>
    <row r="372">
      <c r="AG372" s="45"/>
      <c r="AH372" s="45"/>
      <c r="AI372" s="45"/>
      <c r="AJ372" s="45"/>
      <c r="AK372" s="45"/>
      <c r="AL372" s="45"/>
      <c r="AM372" s="45"/>
    </row>
    <row r="373">
      <c r="AG373" s="45"/>
      <c r="AH373" s="45"/>
      <c r="AI373" s="45"/>
      <c r="AJ373" s="45"/>
      <c r="AK373" s="45"/>
      <c r="AL373" s="45"/>
      <c r="AM373" s="45"/>
    </row>
    <row r="374">
      <c r="AG374" s="45"/>
      <c r="AH374" s="45"/>
      <c r="AI374" s="45"/>
      <c r="AJ374" s="45"/>
      <c r="AK374" s="45"/>
      <c r="AL374" s="45"/>
      <c r="AM374" s="45"/>
    </row>
    <row r="375">
      <c r="AG375" s="45"/>
      <c r="AH375" s="45"/>
      <c r="AI375" s="45"/>
      <c r="AJ375" s="45"/>
      <c r="AK375" s="45"/>
      <c r="AL375" s="45"/>
      <c r="AM375" s="45"/>
    </row>
    <row r="376">
      <c r="AG376" s="45"/>
      <c r="AH376" s="45"/>
      <c r="AI376" s="45"/>
      <c r="AJ376" s="45"/>
      <c r="AK376" s="45"/>
      <c r="AL376" s="45"/>
      <c r="AM376" s="45"/>
    </row>
    <row r="377">
      <c r="AG377" s="45"/>
      <c r="AH377" s="45"/>
      <c r="AI377" s="45"/>
      <c r="AJ377" s="45"/>
      <c r="AK377" s="45"/>
      <c r="AL377" s="45"/>
      <c r="AM377" s="45"/>
    </row>
    <row r="378">
      <c r="AG378" s="45"/>
      <c r="AH378" s="45"/>
      <c r="AI378" s="45"/>
      <c r="AJ378" s="45"/>
      <c r="AK378" s="45"/>
      <c r="AL378" s="45"/>
      <c r="AM378" s="45"/>
    </row>
    <row r="379">
      <c r="AG379" s="45"/>
      <c r="AH379" s="45"/>
      <c r="AI379" s="45"/>
      <c r="AJ379" s="45"/>
      <c r="AK379" s="45"/>
      <c r="AL379" s="45"/>
      <c r="AM379" s="45"/>
    </row>
    <row r="380">
      <c r="AG380" s="45"/>
      <c r="AH380" s="45"/>
      <c r="AI380" s="45"/>
      <c r="AJ380" s="45"/>
      <c r="AK380" s="45"/>
      <c r="AL380" s="45"/>
      <c r="AM380" s="45"/>
    </row>
    <row r="381">
      <c r="AG381" s="45"/>
      <c r="AH381" s="45"/>
      <c r="AI381" s="45"/>
      <c r="AJ381" s="45"/>
      <c r="AK381" s="45"/>
      <c r="AL381" s="45"/>
      <c r="AM381" s="45"/>
    </row>
    <row r="382">
      <c r="AG382" s="45"/>
      <c r="AH382" s="45"/>
      <c r="AI382" s="45"/>
      <c r="AJ382" s="45"/>
      <c r="AK382" s="45"/>
      <c r="AL382" s="45"/>
      <c r="AM382" s="45"/>
    </row>
    <row r="383">
      <c r="AG383" s="45"/>
      <c r="AH383" s="45"/>
      <c r="AI383" s="45"/>
      <c r="AJ383" s="45"/>
      <c r="AK383" s="45"/>
      <c r="AL383" s="45"/>
      <c r="AM383" s="45"/>
    </row>
    <row r="384">
      <c r="AG384" s="45"/>
      <c r="AH384" s="45"/>
      <c r="AI384" s="45"/>
      <c r="AJ384" s="45"/>
      <c r="AK384" s="45"/>
      <c r="AL384" s="45"/>
      <c r="AM384" s="45"/>
    </row>
    <row r="385">
      <c r="AG385" s="45"/>
      <c r="AH385" s="45"/>
      <c r="AI385" s="45"/>
      <c r="AJ385" s="45"/>
      <c r="AK385" s="45"/>
      <c r="AL385" s="45"/>
      <c r="AM385" s="45"/>
    </row>
    <row r="386">
      <c r="AG386" s="45"/>
      <c r="AH386" s="45"/>
      <c r="AI386" s="45"/>
      <c r="AJ386" s="45"/>
      <c r="AK386" s="45"/>
      <c r="AL386" s="45"/>
      <c r="AM386" s="45"/>
    </row>
    <row r="387">
      <c r="AG387" s="45"/>
      <c r="AH387" s="45"/>
      <c r="AI387" s="45"/>
      <c r="AJ387" s="45"/>
      <c r="AK387" s="45"/>
      <c r="AL387" s="45"/>
      <c r="AM387" s="45"/>
    </row>
    <row r="388">
      <c r="AG388" s="45"/>
      <c r="AH388" s="45"/>
      <c r="AI388" s="45"/>
      <c r="AJ388" s="45"/>
      <c r="AK388" s="45"/>
      <c r="AL388" s="45"/>
      <c r="AM388" s="45"/>
    </row>
    <row r="389">
      <c r="AG389" s="45"/>
      <c r="AH389" s="45"/>
      <c r="AI389" s="45"/>
      <c r="AJ389" s="45"/>
      <c r="AK389" s="45"/>
      <c r="AL389" s="45"/>
      <c r="AM389" s="45"/>
    </row>
    <row r="390">
      <c r="AG390" s="45"/>
      <c r="AH390" s="45"/>
      <c r="AI390" s="45"/>
      <c r="AJ390" s="45"/>
      <c r="AK390" s="45"/>
      <c r="AL390" s="45"/>
      <c r="AM390" s="45"/>
    </row>
    <row r="391">
      <c r="AG391" s="45"/>
      <c r="AH391" s="45"/>
      <c r="AI391" s="45"/>
      <c r="AJ391" s="45"/>
      <c r="AK391" s="45"/>
      <c r="AL391" s="45"/>
      <c r="AM391" s="45"/>
    </row>
    <row r="392">
      <c r="AG392" s="45"/>
      <c r="AH392" s="45"/>
      <c r="AI392" s="45"/>
      <c r="AJ392" s="45"/>
      <c r="AK392" s="45"/>
      <c r="AL392" s="45"/>
      <c r="AM392" s="45"/>
    </row>
    <row r="393">
      <c r="AG393" s="45"/>
      <c r="AH393" s="45"/>
      <c r="AI393" s="45"/>
      <c r="AJ393" s="45"/>
      <c r="AK393" s="45"/>
      <c r="AL393" s="45"/>
      <c r="AM393" s="45"/>
    </row>
    <row r="394">
      <c r="AG394" s="45"/>
      <c r="AH394" s="45"/>
      <c r="AI394" s="45"/>
      <c r="AJ394" s="45"/>
      <c r="AK394" s="45"/>
      <c r="AL394" s="45"/>
      <c r="AM394" s="45"/>
    </row>
    <row r="395">
      <c r="AG395" s="45"/>
      <c r="AH395" s="45"/>
      <c r="AI395" s="45"/>
      <c r="AJ395" s="45"/>
      <c r="AK395" s="45"/>
      <c r="AL395" s="45"/>
      <c r="AM395" s="45"/>
    </row>
    <row r="396">
      <c r="AG396" s="45"/>
      <c r="AH396" s="45"/>
      <c r="AI396" s="45"/>
      <c r="AJ396" s="45"/>
      <c r="AK396" s="45"/>
      <c r="AL396" s="45"/>
      <c r="AM396" s="45"/>
    </row>
    <row r="397">
      <c r="AG397" s="45"/>
      <c r="AH397" s="45"/>
      <c r="AI397" s="45"/>
      <c r="AJ397" s="45"/>
      <c r="AK397" s="45"/>
      <c r="AL397" s="45"/>
      <c r="AM397" s="45"/>
    </row>
    <row r="398">
      <c r="AG398" s="45"/>
      <c r="AH398" s="45"/>
      <c r="AI398" s="45"/>
      <c r="AJ398" s="45"/>
      <c r="AK398" s="45"/>
      <c r="AL398" s="45"/>
      <c r="AM398" s="45"/>
    </row>
    <row r="399">
      <c r="AG399" s="45"/>
      <c r="AH399" s="45"/>
      <c r="AI399" s="45"/>
      <c r="AJ399" s="45"/>
      <c r="AK399" s="45"/>
      <c r="AL399" s="45"/>
      <c r="AM399" s="45"/>
    </row>
    <row r="400">
      <c r="AG400" s="45"/>
      <c r="AH400" s="45"/>
      <c r="AI400" s="45"/>
      <c r="AJ400" s="45"/>
      <c r="AK400" s="45"/>
      <c r="AL400" s="45"/>
      <c r="AM400" s="45"/>
    </row>
    <row r="401">
      <c r="AG401" s="45"/>
      <c r="AH401" s="45"/>
      <c r="AI401" s="45"/>
      <c r="AJ401" s="45"/>
      <c r="AK401" s="45"/>
      <c r="AL401" s="45"/>
      <c r="AM401" s="45"/>
    </row>
    <row r="402">
      <c r="AG402" s="45"/>
      <c r="AH402" s="45"/>
      <c r="AI402" s="45"/>
      <c r="AJ402" s="45"/>
      <c r="AK402" s="45"/>
      <c r="AL402" s="45"/>
      <c r="AM402" s="45"/>
    </row>
    <row r="403">
      <c r="AG403" s="45"/>
      <c r="AH403" s="45"/>
      <c r="AI403" s="45"/>
      <c r="AJ403" s="45"/>
      <c r="AK403" s="45"/>
      <c r="AL403" s="45"/>
      <c r="AM403" s="45"/>
    </row>
    <row r="404">
      <c r="AG404" s="45"/>
      <c r="AH404" s="45"/>
      <c r="AI404" s="45"/>
      <c r="AJ404" s="45"/>
      <c r="AK404" s="45"/>
      <c r="AL404" s="45"/>
      <c r="AM404" s="45"/>
    </row>
    <row r="405">
      <c r="AG405" s="45"/>
      <c r="AH405" s="45"/>
      <c r="AI405" s="45"/>
      <c r="AJ405" s="45"/>
      <c r="AK405" s="45"/>
      <c r="AL405" s="45"/>
      <c r="AM405" s="45"/>
    </row>
    <row r="406">
      <c r="AG406" s="45"/>
      <c r="AH406" s="45"/>
      <c r="AI406" s="45"/>
      <c r="AJ406" s="45"/>
      <c r="AK406" s="45"/>
      <c r="AL406" s="45"/>
      <c r="AM406" s="45"/>
    </row>
    <row r="407">
      <c r="AG407" s="45"/>
      <c r="AH407" s="45"/>
      <c r="AI407" s="45"/>
      <c r="AJ407" s="45"/>
      <c r="AK407" s="45"/>
      <c r="AL407" s="45"/>
      <c r="AM407" s="45"/>
    </row>
    <row r="408">
      <c r="AG408" s="45"/>
      <c r="AH408" s="45"/>
      <c r="AI408" s="45"/>
      <c r="AJ408" s="45"/>
      <c r="AK408" s="45"/>
      <c r="AL408" s="45"/>
      <c r="AM408" s="45"/>
    </row>
    <row r="409">
      <c r="AG409" s="45"/>
      <c r="AH409" s="45"/>
      <c r="AI409" s="45"/>
      <c r="AJ409" s="45"/>
      <c r="AK409" s="45"/>
      <c r="AL409" s="45"/>
      <c r="AM409" s="45"/>
    </row>
    <row r="410">
      <c r="AG410" s="45"/>
      <c r="AH410" s="45"/>
      <c r="AI410" s="45"/>
      <c r="AJ410" s="45"/>
      <c r="AK410" s="45"/>
      <c r="AL410" s="45"/>
      <c r="AM410" s="45"/>
    </row>
    <row r="411">
      <c r="AG411" s="45"/>
      <c r="AH411" s="45"/>
      <c r="AI411" s="45"/>
      <c r="AJ411" s="45"/>
      <c r="AK411" s="45"/>
      <c r="AL411" s="45"/>
      <c r="AM411" s="45"/>
    </row>
    <row r="412">
      <c r="AG412" s="45"/>
      <c r="AH412" s="45"/>
      <c r="AI412" s="45"/>
      <c r="AJ412" s="45"/>
      <c r="AK412" s="45"/>
      <c r="AL412" s="45"/>
      <c r="AM412" s="45"/>
    </row>
    <row r="413">
      <c r="AG413" s="45"/>
      <c r="AH413" s="45"/>
      <c r="AI413" s="45"/>
      <c r="AJ413" s="45"/>
      <c r="AK413" s="45"/>
      <c r="AL413" s="45"/>
      <c r="AM413" s="45"/>
    </row>
    <row r="414">
      <c r="AG414" s="45"/>
      <c r="AH414" s="45"/>
      <c r="AI414" s="45"/>
      <c r="AJ414" s="45"/>
      <c r="AK414" s="45"/>
      <c r="AL414" s="45"/>
      <c r="AM414" s="45"/>
    </row>
    <row r="415">
      <c r="AG415" s="45"/>
      <c r="AH415" s="45"/>
      <c r="AI415" s="45"/>
      <c r="AJ415" s="45"/>
      <c r="AK415" s="45"/>
      <c r="AL415" s="45"/>
      <c r="AM415" s="45"/>
    </row>
    <row r="416">
      <c r="AG416" s="45"/>
      <c r="AH416" s="45"/>
      <c r="AI416" s="45"/>
      <c r="AJ416" s="45"/>
      <c r="AK416" s="45"/>
      <c r="AL416" s="45"/>
      <c r="AM416" s="45"/>
    </row>
    <row r="417">
      <c r="AG417" s="45"/>
      <c r="AH417" s="45"/>
      <c r="AI417" s="45"/>
      <c r="AJ417" s="45"/>
      <c r="AK417" s="45"/>
      <c r="AL417" s="45"/>
      <c r="AM417" s="45"/>
    </row>
    <row r="418">
      <c r="AG418" s="45"/>
      <c r="AH418" s="45"/>
      <c r="AI418" s="45"/>
      <c r="AJ418" s="45"/>
      <c r="AK418" s="45"/>
      <c r="AL418" s="45"/>
      <c r="AM418" s="45"/>
    </row>
    <row r="419">
      <c r="AG419" s="45"/>
      <c r="AH419" s="45"/>
      <c r="AI419" s="45"/>
      <c r="AJ419" s="45"/>
      <c r="AK419" s="45"/>
      <c r="AL419" s="45"/>
      <c r="AM419" s="45"/>
    </row>
    <row r="420">
      <c r="AG420" s="45"/>
      <c r="AH420" s="45"/>
      <c r="AI420" s="45"/>
      <c r="AJ420" s="45"/>
      <c r="AK420" s="45"/>
      <c r="AL420" s="45"/>
      <c r="AM420" s="45"/>
    </row>
    <row r="421">
      <c r="AG421" s="45"/>
      <c r="AH421" s="45"/>
      <c r="AI421" s="45"/>
      <c r="AJ421" s="45"/>
      <c r="AK421" s="45"/>
      <c r="AL421" s="45"/>
      <c r="AM421" s="45"/>
    </row>
    <row r="422">
      <c r="AG422" s="45"/>
      <c r="AH422" s="45"/>
      <c r="AI422" s="45"/>
      <c r="AJ422" s="45"/>
      <c r="AK422" s="45"/>
      <c r="AL422" s="45"/>
      <c r="AM422" s="45"/>
    </row>
    <row r="423">
      <c r="AG423" s="45"/>
      <c r="AH423" s="45"/>
      <c r="AI423" s="45"/>
      <c r="AJ423" s="45"/>
      <c r="AK423" s="45"/>
      <c r="AL423" s="45"/>
      <c r="AM423" s="45"/>
    </row>
    <row r="424">
      <c r="AG424" s="45"/>
      <c r="AH424" s="45"/>
      <c r="AI424" s="45"/>
      <c r="AJ424" s="45"/>
      <c r="AK424" s="45"/>
      <c r="AL424" s="45"/>
      <c r="AM424" s="45"/>
    </row>
    <row r="425">
      <c r="AG425" s="45"/>
      <c r="AH425" s="45"/>
      <c r="AI425" s="45"/>
      <c r="AJ425" s="45"/>
      <c r="AK425" s="45"/>
      <c r="AL425" s="45"/>
      <c r="AM425" s="45"/>
    </row>
    <row r="426">
      <c r="AG426" s="45"/>
      <c r="AH426" s="45"/>
      <c r="AI426" s="45"/>
      <c r="AJ426" s="45"/>
      <c r="AK426" s="45"/>
      <c r="AL426" s="45"/>
      <c r="AM426" s="45"/>
    </row>
    <row r="427">
      <c r="AG427" s="45"/>
      <c r="AH427" s="45"/>
      <c r="AI427" s="45"/>
      <c r="AJ427" s="45"/>
      <c r="AK427" s="45"/>
      <c r="AL427" s="45"/>
      <c r="AM427" s="45"/>
    </row>
    <row r="428">
      <c r="AG428" s="45"/>
      <c r="AH428" s="45"/>
      <c r="AI428" s="45"/>
      <c r="AJ428" s="45"/>
      <c r="AK428" s="45"/>
      <c r="AL428" s="45"/>
      <c r="AM428" s="45"/>
    </row>
    <row r="429">
      <c r="AG429" s="45"/>
      <c r="AH429" s="45"/>
      <c r="AI429" s="45"/>
      <c r="AJ429" s="45"/>
      <c r="AK429" s="45"/>
      <c r="AL429" s="45"/>
      <c r="AM429" s="45"/>
    </row>
    <row r="430">
      <c r="AG430" s="45"/>
      <c r="AH430" s="45"/>
      <c r="AI430" s="45"/>
      <c r="AJ430" s="45"/>
      <c r="AK430" s="45"/>
      <c r="AL430" s="45"/>
      <c r="AM430" s="45"/>
    </row>
    <row r="431">
      <c r="AG431" s="45"/>
      <c r="AH431" s="45"/>
      <c r="AI431" s="45"/>
      <c r="AJ431" s="45"/>
      <c r="AK431" s="45"/>
      <c r="AL431" s="45"/>
      <c r="AM431" s="45"/>
    </row>
    <row r="432">
      <c r="AG432" s="45"/>
      <c r="AH432" s="45"/>
      <c r="AI432" s="45"/>
      <c r="AJ432" s="45"/>
      <c r="AK432" s="45"/>
      <c r="AL432" s="45"/>
      <c r="AM432" s="45"/>
    </row>
    <row r="433">
      <c r="AG433" s="45"/>
      <c r="AH433" s="45"/>
      <c r="AI433" s="45"/>
      <c r="AJ433" s="45"/>
      <c r="AK433" s="45"/>
      <c r="AL433" s="45"/>
      <c r="AM433" s="45"/>
    </row>
    <row r="434">
      <c r="AG434" s="45"/>
      <c r="AH434" s="45"/>
      <c r="AI434" s="45"/>
      <c r="AJ434" s="45"/>
      <c r="AK434" s="45"/>
      <c r="AL434" s="45"/>
      <c r="AM434" s="45"/>
    </row>
    <row r="435">
      <c r="AG435" s="45"/>
      <c r="AH435" s="45"/>
      <c r="AI435" s="45"/>
      <c r="AJ435" s="45"/>
      <c r="AK435" s="45"/>
      <c r="AL435" s="45"/>
      <c r="AM435" s="45"/>
    </row>
    <row r="436">
      <c r="AG436" s="45"/>
      <c r="AH436" s="45"/>
      <c r="AI436" s="45"/>
      <c r="AJ436" s="45"/>
      <c r="AK436" s="45"/>
      <c r="AL436" s="45"/>
      <c r="AM436" s="45"/>
    </row>
    <row r="437">
      <c r="AG437" s="45"/>
      <c r="AH437" s="45"/>
      <c r="AI437" s="45"/>
      <c r="AJ437" s="45"/>
      <c r="AK437" s="45"/>
      <c r="AL437" s="45"/>
      <c r="AM437" s="45"/>
    </row>
    <row r="438">
      <c r="AG438" s="45"/>
      <c r="AH438" s="45"/>
      <c r="AI438" s="45"/>
      <c r="AJ438" s="45"/>
      <c r="AK438" s="45"/>
      <c r="AL438" s="45"/>
      <c r="AM438" s="45"/>
    </row>
    <row r="439">
      <c r="AG439" s="45"/>
      <c r="AH439" s="45"/>
      <c r="AI439" s="45"/>
      <c r="AJ439" s="45"/>
      <c r="AK439" s="45"/>
      <c r="AL439" s="45"/>
      <c r="AM439" s="45"/>
    </row>
    <row r="440">
      <c r="AG440" s="45"/>
      <c r="AH440" s="45"/>
      <c r="AI440" s="45"/>
      <c r="AJ440" s="45"/>
      <c r="AK440" s="45"/>
      <c r="AL440" s="45"/>
      <c r="AM440" s="45"/>
    </row>
    <row r="441">
      <c r="AG441" s="45"/>
      <c r="AH441" s="45"/>
      <c r="AI441" s="45"/>
      <c r="AJ441" s="45"/>
      <c r="AK441" s="45"/>
      <c r="AL441" s="45"/>
      <c r="AM441" s="45"/>
    </row>
    <row r="442">
      <c r="AG442" s="45"/>
      <c r="AH442" s="45"/>
      <c r="AI442" s="45"/>
      <c r="AJ442" s="45"/>
      <c r="AK442" s="45"/>
      <c r="AL442" s="45"/>
      <c r="AM442" s="45"/>
    </row>
    <row r="443">
      <c r="AG443" s="45"/>
      <c r="AH443" s="45"/>
      <c r="AI443" s="45"/>
      <c r="AJ443" s="45"/>
      <c r="AK443" s="45"/>
      <c r="AL443" s="45"/>
      <c r="AM443" s="45"/>
    </row>
    <row r="444">
      <c r="AG444" s="45"/>
      <c r="AH444" s="45"/>
      <c r="AI444" s="45"/>
      <c r="AJ444" s="45"/>
      <c r="AK444" s="45"/>
      <c r="AL444" s="45"/>
      <c r="AM444" s="45"/>
    </row>
    <row r="445">
      <c r="AG445" s="45"/>
      <c r="AH445" s="45"/>
      <c r="AI445" s="45"/>
      <c r="AJ445" s="45"/>
      <c r="AK445" s="45"/>
      <c r="AL445" s="45"/>
      <c r="AM445" s="45"/>
    </row>
    <row r="446">
      <c r="AG446" s="45"/>
      <c r="AH446" s="45"/>
      <c r="AI446" s="45"/>
      <c r="AJ446" s="45"/>
      <c r="AK446" s="45"/>
      <c r="AL446" s="45"/>
      <c r="AM446" s="45"/>
    </row>
    <row r="447">
      <c r="AG447" s="45"/>
      <c r="AH447" s="45"/>
      <c r="AI447" s="45"/>
      <c r="AJ447" s="45"/>
      <c r="AK447" s="45"/>
      <c r="AL447" s="45"/>
      <c r="AM447" s="45"/>
    </row>
    <row r="448">
      <c r="AG448" s="45"/>
      <c r="AH448" s="45"/>
      <c r="AI448" s="45"/>
      <c r="AJ448" s="45"/>
      <c r="AK448" s="45"/>
      <c r="AL448" s="45"/>
      <c r="AM448" s="45"/>
    </row>
    <row r="449">
      <c r="AG449" s="45"/>
      <c r="AH449" s="45"/>
      <c r="AI449" s="45"/>
      <c r="AJ449" s="45"/>
      <c r="AK449" s="45"/>
      <c r="AL449" s="45"/>
      <c r="AM449" s="45"/>
    </row>
    <row r="450">
      <c r="AG450" s="45"/>
      <c r="AH450" s="45"/>
      <c r="AI450" s="45"/>
      <c r="AJ450" s="45"/>
      <c r="AK450" s="45"/>
      <c r="AL450" s="45"/>
      <c r="AM450" s="45"/>
    </row>
    <row r="451">
      <c r="AG451" s="45"/>
      <c r="AH451" s="45"/>
      <c r="AI451" s="45"/>
      <c r="AJ451" s="45"/>
      <c r="AK451" s="45"/>
      <c r="AL451" s="45"/>
      <c r="AM451" s="45"/>
    </row>
    <row r="452">
      <c r="AG452" s="45"/>
      <c r="AH452" s="45"/>
      <c r="AI452" s="45"/>
      <c r="AJ452" s="45"/>
      <c r="AK452" s="45"/>
      <c r="AL452" s="45"/>
      <c r="AM452" s="45"/>
    </row>
    <row r="453">
      <c r="AG453" s="45"/>
      <c r="AH453" s="45"/>
      <c r="AI453" s="45"/>
      <c r="AJ453" s="45"/>
      <c r="AK453" s="45"/>
      <c r="AL453" s="45"/>
      <c r="AM453" s="45"/>
    </row>
    <row r="454">
      <c r="AG454" s="45"/>
      <c r="AH454" s="45"/>
      <c r="AI454" s="45"/>
      <c r="AJ454" s="45"/>
      <c r="AK454" s="45"/>
      <c r="AL454" s="45"/>
      <c r="AM454" s="45"/>
    </row>
    <row r="455">
      <c r="AG455" s="45"/>
      <c r="AH455" s="45"/>
      <c r="AI455" s="45"/>
      <c r="AJ455" s="45"/>
      <c r="AK455" s="45"/>
      <c r="AL455" s="45"/>
      <c r="AM455" s="45"/>
    </row>
    <row r="456">
      <c r="AG456" s="45"/>
      <c r="AH456" s="45"/>
      <c r="AI456" s="45"/>
      <c r="AJ456" s="45"/>
      <c r="AK456" s="45"/>
      <c r="AL456" s="45"/>
      <c r="AM456" s="45"/>
    </row>
    <row r="457">
      <c r="AG457" s="45"/>
      <c r="AH457" s="45"/>
      <c r="AI457" s="45"/>
      <c r="AJ457" s="45"/>
      <c r="AK457" s="45"/>
      <c r="AL457" s="45"/>
      <c r="AM457" s="45"/>
    </row>
    <row r="458">
      <c r="AG458" s="45"/>
      <c r="AH458" s="45"/>
      <c r="AI458" s="45"/>
      <c r="AJ458" s="45"/>
      <c r="AK458" s="45"/>
      <c r="AL458" s="45"/>
      <c r="AM458" s="45"/>
    </row>
    <row r="459">
      <c r="AG459" s="45"/>
      <c r="AH459" s="45"/>
      <c r="AI459" s="45"/>
      <c r="AJ459" s="45"/>
      <c r="AK459" s="45"/>
      <c r="AL459" s="45"/>
      <c r="AM459" s="45"/>
    </row>
    <row r="460">
      <c r="AG460" s="45"/>
      <c r="AH460" s="45"/>
      <c r="AI460" s="45"/>
      <c r="AJ460" s="45"/>
      <c r="AK460" s="45"/>
      <c r="AL460" s="45"/>
      <c r="AM460" s="45"/>
    </row>
    <row r="461">
      <c r="AG461" s="45"/>
      <c r="AH461" s="45"/>
      <c r="AI461" s="45"/>
      <c r="AJ461" s="45"/>
      <c r="AK461" s="45"/>
      <c r="AL461" s="45"/>
      <c r="AM461" s="45"/>
    </row>
    <row r="462">
      <c r="AG462" s="45"/>
      <c r="AH462" s="45"/>
      <c r="AI462" s="45"/>
      <c r="AJ462" s="45"/>
      <c r="AK462" s="45"/>
      <c r="AL462" s="45"/>
      <c r="AM462" s="45"/>
    </row>
    <row r="463">
      <c r="AG463" s="45"/>
      <c r="AH463" s="45"/>
      <c r="AI463" s="45"/>
      <c r="AJ463" s="45"/>
      <c r="AK463" s="45"/>
      <c r="AL463" s="45"/>
      <c r="AM463" s="45"/>
    </row>
    <row r="464">
      <c r="AG464" s="45"/>
      <c r="AH464" s="45"/>
      <c r="AI464" s="45"/>
      <c r="AJ464" s="45"/>
      <c r="AK464" s="45"/>
      <c r="AL464" s="45"/>
      <c r="AM464" s="45"/>
    </row>
    <row r="465">
      <c r="AG465" s="45"/>
      <c r="AH465" s="45"/>
      <c r="AI465" s="45"/>
      <c r="AJ465" s="45"/>
      <c r="AK465" s="45"/>
      <c r="AL465" s="45"/>
      <c r="AM465" s="45"/>
    </row>
    <row r="466">
      <c r="AG466" s="45"/>
      <c r="AH466" s="45"/>
      <c r="AI466" s="45"/>
      <c r="AJ466" s="45"/>
      <c r="AK466" s="45"/>
      <c r="AL466" s="45"/>
      <c r="AM466" s="45"/>
    </row>
    <row r="467">
      <c r="AG467" s="45"/>
      <c r="AH467" s="45"/>
      <c r="AI467" s="45"/>
      <c r="AJ467" s="45"/>
      <c r="AK467" s="45"/>
      <c r="AL467" s="45"/>
      <c r="AM467" s="45"/>
    </row>
    <row r="468">
      <c r="AG468" s="45"/>
      <c r="AH468" s="45"/>
      <c r="AI468" s="45"/>
      <c r="AJ468" s="45"/>
      <c r="AK468" s="45"/>
      <c r="AL468" s="45"/>
      <c r="AM468" s="45"/>
    </row>
    <row r="469">
      <c r="AG469" s="45"/>
      <c r="AH469" s="45"/>
      <c r="AI469" s="45"/>
      <c r="AJ469" s="45"/>
      <c r="AK469" s="45"/>
      <c r="AL469" s="45"/>
      <c r="AM469" s="45"/>
    </row>
    <row r="470">
      <c r="AG470" s="45"/>
      <c r="AH470" s="45"/>
      <c r="AI470" s="45"/>
      <c r="AJ470" s="45"/>
      <c r="AK470" s="45"/>
      <c r="AL470" s="45"/>
      <c r="AM470" s="45"/>
    </row>
    <row r="471">
      <c r="AG471" s="45"/>
      <c r="AH471" s="45"/>
      <c r="AI471" s="45"/>
      <c r="AJ471" s="45"/>
      <c r="AK471" s="45"/>
      <c r="AL471" s="45"/>
      <c r="AM471" s="45"/>
    </row>
    <row r="472">
      <c r="AG472" s="45"/>
      <c r="AH472" s="45"/>
      <c r="AI472" s="45"/>
      <c r="AJ472" s="45"/>
      <c r="AK472" s="45"/>
      <c r="AL472" s="45"/>
      <c r="AM472" s="45"/>
    </row>
    <row r="473">
      <c r="AG473" s="45"/>
      <c r="AH473" s="45"/>
      <c r="AI473" s="45"/>
      <c r="AJ473" s="45"/>
      <c r="AK473" s="45"/>
      <c r="AL473" s="45"/>
      <c r="AM473" s="45"/>
    </row>
    <row r="474">
      <c r="AG474" s="45"/>
      <c r="AH474" s="45"/>
      <c r="AI474" s="45"/>
      <c r="AJ474" s="45"/>
      <c r="AK474" s="45"/>
      <c r="AL474" s="45"/>
      <c r="AM474" s="45"/>
    </row>
    <row r="475">
      <c r="AG475" s="45"/>
      <c r="AH475" s="45"/>
      <c r="AI475" s="45"/>
      <c r="AJ475" s="45"/>
      <c r="AK475" s="45"/>
      <c r="AL475" s="45"/>
      <c r="AM475" s="45"/>
    </row>
    <row r="476">
      <c r="AG476" s="45"/>
      <c r="AH476" s="45"/>
      <c r="AI476" s="45"/>
      <c r="AJ476" s="45"/>
      <c r="AK476" s="45"/>
      <c r="AL476" s="45"/>
      <c r="AM476" s="45"/>
    </row>
    <row r="477">
      <c r="AG477" s="45"/>
      <c r="AH477" s="45"/>
      <c r="AI477" s="45"/>
      <c r="AJ477" s="45"/>
      <c r="AK477" s="45"/>
      <c r="AL477" s="45"/>
      <c r="AM477" s="45"/>
    </row>
    <row r="478">
      <c r="AG478" s="45"/>
      <c r="AH478" s="45"/>
      <c r="AI478" s="45"/>
      <c r="AJ478" s="45"/>
      <c r="AK478" s="45"/>
      <c r="AL478" s="45"/>
      <c r="AM478" s="45"/>
    </row>
    <row r="479">
      <c r="AG479" s="45"/>
      <c r="AH479" s="45"/>
      <c r="AI479" s="45"/>
      <c r="AJ479" s="45"/>
      <c r="AK479" s="45"/>
      <c r="AL479" s="45"/>
      <c r="AM479" s="45"/>
    </row>
    <row r="480">
      <c r="AG480" s="45"/>
      <c r="AH480" s="45"/>
      <c r="AI480" s="45"/>
      <c r="AJ480" s="45"/>
      <c r="AK480" s="45"/>
      <c r="AL480" s="45"/>
      <c r="AM480" s="45"/>
    </row>
    <row r="481">
      <c r="AG481" s="45"/>
      <c r="AH481" s="45"/>
      <c r="AI481" s="45"/>
      <c r="AJ481" s="45"/>
      <c r="AK481" s="45"/>
      <c r="AL481" s="45"/>
      <c r="AM481" s="45"/>
    </row>
    <row r="482">
      <c r="AG482" s="45"/>
      <c r="AH482" s="45"/>
      <c r="AI482" s="45"/>
      <c r="AJ482" s="45"/>
      <c r="AK482" s="45"/>
      <c r="AL482" s="45"/>
      <c r="AM482" s="45"/>
    </row>
    <row r="483">
      <c r="AG483" s="45"/>
      <c r="AH483" s="45"/>
      <c r="AI483" s="45"/>
      <c r="AJ483" s="45"/>
      <c r="AK483" s="45"/>
      <c r="AL483" s="45"/>
      <c r="AM483" s="45"/>
    </row>
    <row r="484">
      <c r="AG484" s="45"/>
      <c r="AH484" s="45"/>
      <c r="AI484" s="45"/>
      <c r="AJ484" s="45"/>
      <c r="AK484" s="45"/>
      <c r="AL484" s="45"/>
      <c r="AM484" s="45"/>
    </row>
    <row r="485">
      <c r="AG485" s="45"/>
      <c r="AH485" s="45"/>
      <c r="AI485" s="45"/>
      <c r="AJ485" s="45"/>
      <c r="AK485" s="45"/>
      <c r="AL485" s="45"/>
      <c r="AM485" s="45"/>
    </row>
    <row r="486">
      <c r="AG486" s="45"/>
      <c r="AH486" s="45"/>
      <c r="AI486" s="45"/>
      <c r="AJ486" s="45"/>
      <c r="AK486" s="45"/>
      <c r="AL486" s="45"/>
      <c r="AM486" s="45"/>
    </row>
    <row r="487">
      <c r="AG487" s="45"/>
      <c r="AH487" s="45"/>
      <c r="AI487" s="45"/>
      <c r="AJ487" s="45"/>
      <c r="AK487" s="45"/>
      <c r="AL487" s="45"/>
      <c r="AM487" s="45"/>
    </row>
    <row r="488">
      <c r="AG488" s="45"/>
      <c r="AH488" s="45"/>
      <c r="AI488" s="45"/>
      <c r="AJ488" s="45"/>
      <c r="AK488" s="45"/>
      <c r="AL488" s="45"/>
      <c r="AM488" s="45"/>
    </row>
    <row r="489">
      <c r="AG489" s="45"/>
      <c r="AH489" s="45"/>
      <c r="AI489" s="45"/>
      <c r="AJ489" s="45"/>
      <c r="AK489" s="45"/>
      <c r="AL489" s="45"/>
      <c r="AM489" s="45"/>
    </row>
    <row r="490">
      <c r="AG490" s="45"/>
      <c r="AH490" s="45"/>
      <c r="AI490" s="45"/>
      <c r="AJ490" s="45"/>
      <c r="AK490" s="45"/>
      <c r="AL490" s="45"/>
      <c r="AM490" s="45"/>
    </row>
    <row r="491">
      <c r="AG491" s="45"/>
      <c r="AH491" s="45"/>
      <c r="AI491" s="45"/>
      <c r="AJ491" s="45"/>
      <c r="AK491" s="45"/>
      <c r="AL491" s="45"/>
      <c r="AM491" s="45"/>
    </row>
    <row r="492">
      <c r="AG492" s="45"/>
      <c r="AH492" s="45"/>
      <c r="AI492" s="45"/>
      <c r="AJ492" s="45"/>
      <c r="AK492" s="45"/>
      <c r="AL492" s="45"/>
      <c r="AM492" s="45"/>
    </row>
    <row r="493">
      <c r="AG493" s="45"/>
      <c r="AH493" s="45"/>
      <c r="AI493" s="45"/>
      <c r="AJ493" s="45"/>
      <c r="AK493" s="45"/>
      <c r="AL493" s="45"/>
      <c r="AM493" s="45"/>
    </row>
    <row r="494">
      <c r="AG494" s="45"/>
      <c r="AH494" s="45"/>
      <c r="AI494" s="45"/>
      <c r="AJ494" s="45"/>
      <c r="AK494" s="45"/>
      <c r="AL494" s="45"/>
      <c r="AM494" s="45"/>
    </row>
    <row r="495">
      <c r="AG495" s="45"/>
      <c r="AH495" s="45"/>
      <c r="AI495" s="45"/>
      <c r="AJ495" s="45"/>
      <c r="AK495" s="45"/>
      <c r="AL495" s="45"/>
      <c r="AM495" s="45"/>
    </row>
    <row r="496">
      <c r="AG496" s="45"/>
      <c r="AH496" s="45"/>
      <c r="AI496" s="45"/>
      <c r="AJ496" s="45"/>
      <c r="AK496" s="45"/>
      <c r="AL496" s="45"/>
      <c r="AM496" s="45"/>
    </row>
    <row r="497">
      <c r="AG497" s="45"/>
      <c r="AH497" s="45"/>
      <c r="AI497" s="45"/>
      <c r="AJ497" s="45"/>
      <c r="AK497" s="45"/>
      <c r="AL497" s="45"/>
      <c r="AM497" s="45"/>
    </row>
    <row r="498">
      <c r="AG498" s="45"/>
      <c r="AH498" s="45"/>
      <c r="AI498" s="45"/>
      <c r="AJ498" s="45"/>
      <c r="AK498" s="45"/>
      <c r="AL498" s="45"/>
      <c r="AM498" s="45"/>
    </row>
    <row r="499">
      <c r="AG499" s="45"/>
      <c r="AH499" s="45"/>
      <c r="AI499" s="45"/>
      <c r="AJ499" s="45"/>
      <c r="AK499" s="45"/>
      <c r="AL499" s="45"/>
      <c r="AM499" s="45"/>
    </row>
    <row r="500">
      <c r="AG500" s="45"/>
      <c r="AH500" s="45"/>
      <c r="AI500" s="45"/>
      <c r="AJ500" s="45"/>
      <c r="AK500" s="45"/>
      <c r="AL500" s="45"/>
      <c r="AM500" s="45"/>
    </row>
    <row r="501">
      <c r="AG501" s="45"/>
      <c r="AH501" s="45"/>
      <c r="AI501" s="45"/>
      <c r="AJ501" s="45"/>
      <c r="AK501" s="45"/>
      <c r="AL501" s="45"/>
      <c r="AM501" s="45"/>
    </row>
    <row r="502">
      <c r="AG502" s="45"/>
      <c r="AH502" s="45"/>
      <c r="AI502" s="45"/>
      <c r="AJ502" s="45"/>
      <c r="AK502" s="45"/>
      <c r="AL502" s="45"/>
      <c r="AM502" s="45"/>
    </row>
    <row r="503">
      <c r="AG503" s="45"/>
      <c r="AH503" s="45"/>
      <c r="AI503" s="45"/>
      <c r="AJ503" s="45"/>
      <c r="AK503" s="45"/>
      <c r="AL503" s="45"/>
      <c r="AM503" s="45"/>
    </row>
    <row r="504">
      <c r="AG504" s="45"/>
      <c r="AH504" s="45"/>
      <c r="AI504" s="45"/>
      <c r="AJ504" s="45"/>
      <c r="AK504" s="45"/>
      <c r="AL504" s="45"/>
      <c r="AM504" s="45"/>
    </row>
    <row r="505">
      <c r="AG505" s="45"/>
      <c r="AH505" s="45"/>
      <c r="AI505" s="45"/>
      <c r="AJ505" s="45"/>
      <c r="AK505" s="45"/>
      <c r="AL505" s="45"/>
      <c r="AM505" s="45"/>
    </row>
    <row r="506">
      <c r="AG506" s="45"/>
      <c r="AH506" s="45"/>
      <c r="AI506" s="45"/>
      <c r="AJ506" s="45"/>
      <c r="AK506" s="45"/>
      <c r="AL506" s="45"/>
      <c r="AM506" s="45"/>
    </row>
    <row r="507">
      <c r="AG507" s="45"/>
      <c r="AH507" s="45"/>
      <c r="AI507" s="45"/>
      <c r="AJ507" s="45"/>
      <c r="AK507" s="45"/>
      <c r="AL507" s="45"/>
      <c r="AM507" s="45"/>
    </row>
    <row r="508">
      <c r="AG508" s="45"/>
      <c r="AH508" s="45"/>
      <c r="AI508" s="45"/>
      <c r="AJ508" s="45"/>
      <c r="AK508" s="45"/>
      <c r="AL508" s="45"/>
      <c r="AM508" s="45"/>
    </row>
    <row r="509">
      <c r="AG509" s="45"/>
      <c r="AH509" s="45"/>
      <c r="AI509" s="45"/>
      <c r="AJ509" s="45"/>
      <c r="AK509" s="45"/>
      <c r="AL509" s="45"/>
      <c r="AM509" s="45"/>
    </row>
    <row r="510">
      <c r="AG510" s="45"/>
      <c r="AH510" s="45"/>
      <c r="AI510" s="45"/>
      <c r="AJ510" s="45"/>
      <c r="AK510" s="45"/>
      <c r="AL510" s="45"/>
      <c r="AM510" s="45"/>
    </row>
    <row r="511">
      <c r="AG511" s="45"/>
      <c r="AH511" s="45"/>
      <c r="AI511" s="45"/>
      <c r="AJ511" s="45"/>
      <c r="AK511" s="45"/>
      <c r="AL511" s="45"/>
      <c r="AM511" s="45"/>
    </row>
    <row r="512">
      <c r="AG512" s="45"/>
      <c r="AH512" s="45"/>
      <c r="AI512" s="45"/>
      <c r="AJ512" s="45"/>
      <c r="AK512" s="45"/>
      <c r="AL512" s="45"/>
      <c r="AM512" s="45"/>
    </row>
    <row r="513">
      <c r="AG513" s="45"/>
      <c r="AH513" s="45"/>
      <c r="AI513" s="45"/>
      <c r="AJ513" s="45"/>
      <c r="AK513" s="45"/>
      <c r="AL513" s="45"/>
      <c r="AM513" s="45"/>
    </row>
    <row r="514">
      <c r="AG514" s="45"/>
      <c r="AH514" s="45"/>
      <c r="AI514" s="45"/>
      <c r="AJ514" s="45"/>
      <c r="AK514" s="45"/>
      <c r="AL514" s="45"/>
      <c r="AM514" s="45"/>
    </row>
    <row r="515">
      <c r="AG515" s="45"/>
      <c r="AH515" s="45"/>
      <c r="AI515" s="45"/>
      <c r="AJ515" s="45"/>
      <c r="AK515" s="45"/>
      <c r="AL515" s="45"/>
      <c r="AM515" s="45"/>
    </row>
    <row r="516">
      <c r="AG516" s="45"/>
      <c r="AH516" s="45"/>
      <c r="AI516" s="45"/>
      <c r="AJ516" s="45"/>
      <c r="AK516" s="45"/>
      <c r="AL516" s="45"/>
      <c r="AM516" s="45"/>
    </row>
    <row r="517">
      <c r="AG517" s="45"/>
      <c r="AH517" s="45"/>
      <c r="AI517" s="45"/>
      <c r="AJ517" s="45"/>
      <c r="AK517" s="45"/>
      <c r="AL517" s="45"/>
      <c r="AM517" s="45"/>
    </row>
    <row r="518">
      <c r="AG518" s="45"/>
      <c r="AH518" s="45"/>
      <c r="AI518" s="45"/>
      <c r="AJ518" s="45"/>
      <c r="AK518" s="45"/>
      <c r="AL518" s="45"/>
      <c r="AM518" s="45"/>
    </row>
    <row r="519">
      <c r="AG519" s="45"/>
      <c r="AH519" s="45"/>
      <c r="AI519" s="45"/>
      <c r="AJ519" s="45"/>
      <c r="AK519" s="45"/>
      <c r="AL519" s="45"/>
      <c r="AM519" s="45"/>
    </row>
    <row r="520">
      <c r="AG520" s="45"/>
      <c r="AH520" s="45"/>
      <c r="AI520" s="45"/>
      <c r="AJ520" s="45"/>
      <c r="AK520" s="45"/>
      <c r="AL520" s="45"/>
      <c r="AM520" s="45"/>
    </row>
    <row r="521">
      <c r="AG521" s="45"/>
      <c r="AH521" s="45"/>
      <c r="AI521" s="45"/>
      <c r="AJ521" s="45"/>
      <c r="AK521" s="45"/>
      <c r="AL521" s="45"/>
      <c r="AM521" s="45"/>
    </row>
    <row r="522">
      <c r="AG522" s="45"/>
      <c r="AH522" s="45"/>
      <c r="AI522" s="45"/>
      <c r="AJ522" s="45"/>
      <c r="AK522" s="45"/>
      <c r="AL522" s="45"/>
      <c r="AM522" s="45"/>
    </row>
    <row r="523">
      <c r="AG523" s="45"/>
      <c r="AH523" s="45"/>
      <c r="AI523" s="45"/>
      <c r="AJ523" s="45"/>
      <c r="AK523" s="45"/>
      <c r="AL523" s="45"/>
      <c r="AM523" s="45"/>
    </row>
    <row r="524">
      <c r="AG524" s="45"/>
      <c r="AH524" s="45"/>
      <c r="AI524" s="45"/>
      <c r="AJ524" s="45"/>
      <c r="AK524" s="45"/>
      <c r="AL524" s="45"/>
      <c r="AM524" s="45"/>
    </row>
    <row r="525">
      <c r="AG525" s="45"/>
      <c r="AH525" s="45"/>
      <c r="AI525" s="45"/>
      <c r="AJ525" s="45"/>
      <c r="AK525" s="45"/>
      <c r="AL525" s="45"/>
      <c r="AM525" s="45"/>
    </row>
    <row r="526">
      <c r="AG526" s="45"/>
      <c r="AH526" s="45"/>
      <c r="AI526" s="45"/>
      <c r="AJ526" s="45"/>
      <c r="AK526" s="45"/>
      <c r="AL526" s="45"/>
      <c r="AM526" s="45"/>
    </row>
    <row r="527">
      <c r="AG527" s="45"/>
      <c r="AH527" s="45"/>
      <c r="AI527" s="45"/>
      <c r="AJ527" s="45"/>
      <c r="AK527" s="45"/>
      <c r="AL527" s="45"/>
      <c r="AM527" s="45"/>
    </row>
    <row r="528">
      <c r="AG528" s="45"/>
      <c r="AH528" s="45"/>
      <c r="AI528" s="45"/>
      <c r="AJ528" s="45"/>
      <c r="AK528" s="45"/>
      <c r="AL528" s="45"/>
      <c r="AM528" s="45"/>
    </row>
    <row r="529">
      <c r="AG529" s="45"/>
      <c r="AH529" s="45"/>
      <c r="AI529" s="45"/>
      <c r="AJ529" s="45"/>
      <c r="AK529" s="45"/>
      <c r="AL529" s="45"/>
      <c r="AM529" s="45"/>
    </row>
    <row r="530">
      <c r="AG530" s="45"/>
      <c r="AH530" s="45"/>
      <c r="AI530" s="45"/>
      <c r="AJ530" s="45"/>
      <c r="AK530" s="45"/>
      <c r="AL530" s="45"/>
      <c r="AM530" s="45"/>
    </row>
    <row r="531">
      <c r="AG531" s="45"/>
      <c r="AH531" s="45"/>
      <c r="AI531" s="45"/>
      <c r="AJ531" s="45"/>
      <c r="AK531" s="45"/>
      <c r="AL531" s="45"/>
      <c r="AM531" s="45"/>
    </row>
    <row r="532">
      <c r="AG532" s="45"/>
      <c r="AH532" s="45"/>
      <c r="AI532" s="45"/>
      <c r="AJ532" s="45"/>
      <c r="AK532" s="45"/>
      <c r="AL532" s="45"/>
      <c r="AM532" s="45"/>
    </row>
    <row r="533">
      <c r="AG533" s="45"/>
      <c r="AH533" s="45"/>
      <c r="AI533" s="45"/>
      <c r="AJ533" s="45"/>
      <c r="AK533" s="45"/>
      <c r="AL533" s="45"/>
      <c r="AM533" s="45"/>
    </row>
    <row r="534">
      <c r="AG534" s="45"/>
      <c r="AH534" s="45"/>
      <c r="AI534" s="45"/>
      <c r="AJ534" s="45"/>
      <c r="AK534" s="45"/>
      <c r="AL534" s="45"/>
      <c r="AM534" s="45"/>
    </row>
    <row r="535">
      <c r="AG535" s="45"/>
      <c r="AH535" s="45"/>
      <c r="AI535" s="45"/>
      <c r="AJ535" s="45"/>
      <c r="AK535" s="45"/>
      <c r="AL535" s="45"/>
      <c r="AM535" s="45"/>
    </row>
    <row r="536">
      <c r="AG536" s="45"/>
      <c r="AH536" s="45"/>
      <c r="AI536" s="45"/>
      <c r="AJ536" s="45"/>
      <c r="AK536" s="45"/>
      <c r="AL536" s="45"/>
      <c r="AM536" s="45"/>
    </row>
    <row r="537">
      <c r="AG537" s="45"/>
      <c r="AH537" s="45"/>
      <c r="AI537" s="45"/>
      <c r="AJ537" s="45"/>
      <c r="AK537" s="45"/>
      <c r="AL537" s="45"/>
      <c r="AM537" s="45"/>
    </row>
    <row r="538">
      <c r="AG538" s="45"/>
      <c r="AH538" s="45"/>
      <c r="AI538" s="45"/>
      <c r="AJ538" s="45"/>
      <c r="AK538" s="45"/>
      <c r="AL538" s="45"/>
      <c r="AM538" s="45"/>
    </row>
    <row r="539">
      <c r="AG539" s="45"/>
      <c r="AH539" s="45"/>
      <c r="AI539" s="45"/>
      <c r="AJ539" s="45"/>
      <c r="AK539" s="45"/>
      <c r="AL539" s="45"/>
      <c r="AM539" s="45"/>
    </row>
    <row r="540">
      <c r="AG540" s="45"/>
      <c r="AH540" s="45"/>
      <c r="AI540" s="45"/>
      <c r="AJ540" s="45"/>
      <c r="AK540" s="45"/>
      <c r="AL540" s="45"/>
      <c r="AM540" s="45"/>
    </row>
    <row r="541">
      <c r="AG541" s="45"/>
      <c r="AH541" s="45"/>
      <c r="AI541" s="45"/>
      <c r="AJ541" s="45"/>
      <c r="AK541" s="45"/>
      <c r="AL541" s="45"/>
      <c r="AM541" s="45"/>
    </row>
    <row r="542">
      <c r="AG542" s="45"/>
      <c r="AH542" s="45"/>
      <c r="AI542" s="45"/>
      <c r="AJ542" s="45"/>
      <c r="AK542" s="45"/>
      <c r="AL542" s="45"/>
      <c r="AM542" s="45"/>
    </row>
    <row r="543">
      <c r="AG543" s="45"/>
      <c r="AH543" s="45"/>
      <c r="AI543" s="45"/>
      <c r="AJ543" s="45"/>
      <c r="AK543" s="45"/>
      <c r="AL543" s="45"/>
      <c r="AM543" s="45"/>
    </row>
    <row r="544">
      <c r="AG544" s="45"/>
      <c r="AH544" s="45"/>
      <c r="AI544" s="45"/>
      <c r="AJ544" s="45"/>
      <c r="AK544" s="45"/>
      <c r="AL544" s="45"/>
      <c r="AM544" s="45"/>
    </row>
    <row r="545">
      <c r="AG545" s="45"/>
      <c r="AH545" s="45"/>
      <c r="AI545" s="45"/>
      <c r="AJ545" s="45"/>
      <c r="AK545" s="45"/>
      <c r="AL545" s="45"/>
      <c r="AM545" s="45"/>
    </row>
    <row r="546">
      <c r="AG546" s="45"/>
      <c r="AH546" s="45"/>
      <c r="AI546" s="45"/>
      <c r="AJ546" s="45"/>
      <c r="AK546" s="45"/>
      <c r="AL546" s="45"/>
      <c r="AM546" s="45"/>
    </row>
    <row r="547">
      <c r="AG547" s="45"/>
      <c r="AH547" s="45"/>
      <c r="AI547" s="45"/>
      <c r="AJ547" s="45"/>
      <c r="AK547" s="45"/>
      <c r="AL547" s="45"/>
      <c r="AM547" s="45"/>
    </row>
    <row r="548">
      <c r="AG548" s="45"/>
      <c r="AH548" s="45"/>
      <c r="AI548" s="45"/>
      <c r="AJ548" s="45"/>
      <c r="AK548" s="45"/>
      <c r="AL548" s="45"/>
      <c r="AM548" s="45"/>
    </row>
    <row r="549">
      <c r="AG549" s="45"/>
      <c r="AH549" s="45"/>
      <c r="AI549" s="45"/>
      <c r="AJ549" s="45"/>
      <c r="AK549" s="45"/>
      <c r="AL549" s="45"/>
      <c r="AM549" s="45"/>
    </row>
    <row r="550">
      <c r="AG550" s="45"/>
      <c r="AH550" s="45"/>
      <c r="AI550" s="45"/>
      <c r="AJ550" s="45"/>
      <c r="AK550" s="45"/>
      <c r="AL550" s="45"/>
      <c r="AM550" s="45"/>
    </row>
    <row r="551">
      <c r="AG551" s="45"/>
      <c r="AH551" s="45"/>
      <c r="AI551" s="45"/>
      <c r="AJ551" s="45"/>
      <c r="AK551" s="45"/>
      <c r="AL551" s="45"/>
      <c r="AM551" s="45"/>
    </row>
    <row r="552">
      <c r="AG552" s="45"/>
      <c r="AH552" s="45"/>
      <c r="AI552" s="45"/>
      <c r="AJ552" s="45"/>
      <c r="AK552" s="45"/>
      <c r="AL552" s="45"/>
      <c r="AM552" s="45"/>
    </row>
    <row r="553">
      <c r="AG553" s="45"/>
      <c r="AH553" s="45"/>
      <c r="AI553" s="45"/>
      <c r="AJ553" s="45"/>
      <c r="AK553" s="45"/>
      <c r="AL553" s="45"/>
      <c r="AM553" s="45"/>
    </row>
    <row r="554">
      <c r="AG554" s="45"/>
      <c r="AH554" s="45"/>
      <c r="AI554" s="45"/>
      <c r="AJ554" s="45"/>
      <c r="AK554" s="45"/>
      <c r="AL554" s="45"/>
      <c r="AM554" s="45"/>
    </row>
    <row r="555">
      <c r="AG555" s="45"/>
      <c r="AH555" s="45"/>
      <c r="AI555" s="45"/>
      <c r="AJ555" s="45"/>
      <c r="AK555" s="45"/>
      <c r="AL555" s="45"/>
      <c r="AM555" s="45"/>
    </row>
    <row r="556">
      <c r="AG556" s="45"/>
      <c r="AH556" s="45"/>
      <c r="AI556" s="45"/>
      <c r="AJ556" s="45"/>
      <c r="AK556" s="45"/>
      <c r="AL556" s="45"/>
      <c r="AM556" s="45"/>
    </row>
    <row r="557">
      <c r="AG557" s="45"/>
      <c r="AH557" s="45"/>
      <c r="AI557" s="45"/>
      <c r="AJ557" s="45"/>
      <c r="AK557" s="45"/>
      <c r="AL557" s="45"/>
      <c r="AM557" s="45"/>
    </row>
    <row r="558">
      <c r="AG558" s="45"/>
      <c r="AH558" s="45"/>
      <c r="AI558" s="45"/>
      <c r="AJ558" s="45"/>
      <c r="AK558" s="45"/>
      <c r="AL558" s="45"/>
      <c r="AM558" s="45"/>
    </row>
    <row r="559">
      <c r="AG559" s="45"/>
      <c r="AH559" s="45"/>
      <c r="AI559" s="45"/>
      <c r="AJ559" s="45"/>
      <c r="AK559" s="45"/>
      <c r="AL559" s="45"/>
      <c r="AM559" s="45"/>
    </row>
    <row r="560">
      <c r="AG560" s="45"/>
      <c r="AH560" s="45"/>
      <c r="AI560" s="45"/>
      <c r="AJ560" s="45"/>
      <c r="AK560" s="45"/>
      <c r="AL560" s="45"/>
      <c r="AM560" s="45"/>
    </row>
    <row r="561">
      <c r="AG561" s="45"/>
      <c r="AH561" s="45"/>
      <c r="AI561" s="45"/>
      <c r="AJ561" s="45"/>
      <c r="AK561" s="45"/>
      <c r="AL561" s="45"/>
      <c r="AM561" s="45"/>
    </row>
    <row r="562">
      <c r="AG562" s="45"/>
      <c r="AH562" s="45"/>
      <c r="AI562" s="45"/>
      <c r="AJ562" s="45"/>
      <c r="AK562" s="45"/>
      <c r="AL562" s="45"/>
      <c r="AM562" s="45"/>
    </row>
    <row r="563">
      <c r="AG563" s="45"/>
      <c r="AH563" s="45"/>
      <c r="AI563" s="45"/>
      <c r="AJ563" s="45"/>
      <c r="AK563" s="45"/>
      <c r="AL563" s="45"/>
      <c r="AM563" s="45"/>
    </row>
    <row r="564">
      <c r="AG564" s="45"/>
      <c r="AH564" s="45"/>
      <c r="AI564" s="45"/>
      <c r="AJ564" s="45"/>
      <c r="AK564" s="45"/>
      <c r="AL564" s="45"/>
      <c r="AM564" s="45"/>
    </row>
    <row r="565">
      <c r="AG565" s="45"/>
      <c r="AH565" s="45"/>
      <c r="AI565" s="45"/>
      <c r="AJ565" s="45"/>
      <c r="AK565" s="45"/>
      <c r="AL565" s="45"/>
      <c r="AM565" s="45"/>
    </row>
    <row r="566">
      <c r="AG566" s="45"/>
      <c r="AH566" s="45"/>
      <c r="AI566" s="45"/>
      <c r="AJ566" s="45"/>
      <c r="AK566" s="45"/>
      <c r="AL566" s="45"/>
      <c r="AM566" s="45"/>
    </row>
    <row r="567">
      <c r="AG567" s="45"/>
      <c r="AH567" s="45"/>
      <c r="AI567" s="45"/>
      <c r="AJ567" s="45"/>
      <c r="AK567" s="45"/>
      <c r="AL567" s="45"/>
      <c r="AM567" s="45"/>
    </row>
    <row r="568">
      <c r="AG568" s="45"/>
      <c r="AH568" s="45"/>
      <c r="AI568" s="45"/>
      <c r="AJ568" s="45"/>
      <c r="AK568" s="45"/>
      <c r="AL568" s="45"/>
      <c r="AM568" s="45"/>
    </row>
    <row r="569">
      <c r="AG569" s="45"/>
      <c r="AH569" s="45"/>
      <c r="AI569" s="45"/>
      <c r="AJ569" s="45"/>
      <c r="AK569" s="45"/>
      <c r="AL569" s="45"/>
      <c r="AM569" s="45"/>
    </row>
    <row r="570">
      <c r="AG570" s="45"/>
      <c r="AH570" s="45"/>
      <c r="AI570" s="45"/>
      <c r="AJ570" s="45"/>
      <c r="AK570" s="45"/>
      <c r="AL570" s="45"/>
      <c r="AM570" s="45"/>
    </row>
    <row r="571">
      <c r="AG571" s="45"/>
      <c r="AH571" s="45"/>
      <c r="AI571" s="45"/>
      <c r="AJ571" s="45"/>
      <c r="AK571" s="45"/>
      <c r="AL571" s="45"/>
      <c r="AM571" s="45"/>
    </row>
    <row r="572">
      <c r="AG572" s="45"/>
      <c r="AH572" s="45"/>
      <c r="AI572" s="45"/>
      <c r="AJ572" s="45"/>
      <c r="AK572" s="45"/>
      <c r="AL572" s="45"/>
      <c r="AM572" s="45"/>
    </row>
    <row r="573">
      <c r="AG573" s="45"/>
      <c r="AH573" s="45"/>
      <c r="AI573" s="45"/>
      <c r="AJ573" s="45"/>
      <c r="AK573" s="45"/>
      <c r="AL573" s="45"/>
      <c r="AM573" s="45"/>
    </row>
    <row r="574">
      <c r="AG574" s="45"/>
      <c r="AH574" s="45"/>
      <c r="AI574" s="45"/>
      <c r="AJ574" s="45"/>
      <c r="AK574" s="45"/>
      <c r="AL574" s="45"/>
      <c r="AM574" s="45"/>
    </row>
    <row r="575">
      <c r="AG575" s="45"/>
      <c r="AH575" s="45"/>
      <c r="AI575" s="45"/>
      <c r="AJ575" s="45"/>
      <c r="AK575" s="45"/>
      <c r="AL575" s="45"/>
      <c r="AM575" s="45"/>
    </row>
    <row r="576">
      <c r="AG576" s="45"/>
      <c r="AH576" s="45"/>
      <c r="AI576" s="45"/>
      <c r="AJ576" s="45"/>
      <c r="AK576" s="45"/>
      <c r="AL576" s="45"/>
      <c r="AM576" s="45"/>
    </row>
    <row r="577">
      <c r="AG577" s="45"/>
      <c r="AH577" s="45"/>
      <c r="AI577" s="45"/>
      <c r="AJ577" s="45"/>
      <c r="AK577" s="45"/>
      <c r="AL577" s="45"/>
      <c r="AM577" s="45"/>
    </row>
    <row r="578">
      <c r="AG578" s="45"/>
      <c r="AH578" s="45"/>
      <c r="AI578" s="45"/>
      <c r="AJ578" s="45"/>
      <c r="AK578" s="45"/>
      <c r="AL578" s="45"/>
      <c r="AM578" s="45"/>
    </row>
    <row r="579">
      <c r="AG579" s="45"/>
      <c r="AH579" s="45"/>
      <c r="AI579" s="45"/>
      <c r="AJ579" s="45"/>
      <c r="AK579" s="45"/>
      <c r="AL579" s="45"/>
      <c r="AM579" s="45"/>
    </row>
    <row r="580">
      <c r="AG580" s="45"/>
      <c r="AH580" s="45"/>
      <c r="AI580" s="45"/>
      <c r="AJ580" s="45"/>
      <c r="AK580" s="45"/>
      <c r="AL580" s="45"/>
      <c r="AM580" s="45"/>
    </row>
    <row r="581">
      <c r="AG581" s="45"/>
      <c r="AH581" s="45"/>
      <c r="AI581" s="45"/>
      <c r="AJ581" s="45"/>
      <c r="AK581" s="45"/>
      <c r="AL581" s="45"/>
      <c r="AM581" s="45"/>
    </row>
    <row r="582">
      <c r="AG582" s="45"/>
      <c r="AH582" s="45"/>
      <c r="AI582" s="45"/>
      <c r="AJ582" s="45"/>
      <c r="AK582" s="45"/>
      <c r="AL582" s="45"/>
      <c r="AM582" s="45"/>
    </row>
    <row r="583">
      <c r="AG583" s="45"/>
      <c r="AH583" s="45"/>
      <c r="AI583" s="45"/>
      <c r="AJ583" s="45"/>
      <c r="AK583" s="45"/>
      <c r="AL583" s="45"/>
      <c r="AM583" s="45"/>
    </row>
    <row r="584">
      <c r="AG584" s="45"/>
      <c r="AH584" s="45"/>
      <c r="AI584" s="45"/>
      <c r="AJ584" s="45"/>
      <c r="AK584" s="45"/>
      <c r="AL584" s="45"/>
      <c r="AM584" s="45"/>
    </row>
    <row r="585">
      <c r="AG585" s="45"/>
      <c r="AH585" s="45"/>
      <c r="AI585" s="45"/>
      <c r="AJ585" s="45"/>
      <c r="AK585" s="45"/>
      <c r="AL585" s="45"/>
      <c r="AM585" s="45"/>
    </row>
    <row r="586">
      <c r="AG586" s="45"/>
      <c r="AH586" s="45"/>
      <c r="AI586" s="45"/>
      <c r="AJ586" s="45"/>
      <c r="AK586" s="45"/>
      <c r="AL586" s="45"/>
      <c r="AM586" s="45"/>
    </row>
    <row r="587">
      <c r="AG587" s="45"/>
      <c r="AH587" s="45"/>
      <c r="AI587" s="45"/>
      <c r="AJ587" s="45"/>
      <c r="AK587" s="45"/>
      <c r="AL587" s="45"/>
      <c r="AM587" s="45"/>
    </row>
    <row r="588">
      <c r="AG588" s="45"/>
      <c r="AH588" s="45"/>
      <c r="AI588" s="45"/>
      <c r="AJ588" s="45"/>
      <c r="AK588" s="45"/>
      <c r="AL588" s="45"/>
      <c r="AM588" s="45"/>
    </row>
    <row r="589">
      <c r="AG589" s="45"/>
      <c r="AH589" s="45"/>
      <c r="AI589" s="45"/>
      <c r="AJ589" s="45"/>
      <c r="AK589" s="45"/>
      <c r="AL589" s="45"/>
      <c r="AM589" s="45"/>
    </row>
    <row r="590">
      <c r="AG590" s="45"/>
      <c r="AH590" s="45"/>
      <c r="AI590" s="45"/>
      <c r="AJ590" s="45"/>
      <c r="AK590" s="45"/>
      <c r="AL590" s="45"/>
      <c r="AM590" s="45"/>
    </row>
    <row r="591">
      <c r="AG591" s="45"/>
      <c r="AH591" s="45"/>
      <c r="AI591" s="45"/>
      <c r="AJ591" s="45"/>
      <c r="AK591" s="45"/>
      <c r="AL591" s="45"/>
      <c r="AM591" s="45"/>
    </row>
    <row r="592">
      <c r="AG592" s="45"/>
      <c r="AH592" s="45"/>
      <c r="AI592" s="45"/>
      <c r="AJ592" s="45"/>
      <c r="AK592" s="45"/>
      <c r="AL592" s="45"/>
      <c r="AM592" s="45"/>
    </row>
    <row r="593">
      <c r="AG593" s="45"/>
      <c r="AH593" s="45"/>
      <c r="AI593" s="45"/>
      <c r="AJ593" s="45"/>
      <c r="AK593" s="45"/>
      <c r="AL593" s="45"/>
      <c r="AM593" s="45"/>
    </row>
    <row r="594">
      <c r="AG594" s="45"/>
      <c r="AH594" s="45"/>
      <c r="AI594" s="45"/>
      <c r="AJ594" s="45"/>
      <c r="AK594" s="45"/>
      <c r="AL594" s="45"/>
      <c r="AM594" s="45"/>
    </row>
    <row r="595">
      <c r="AG595" s="45"/>
      <c r="AH595" s="45"/>
      <c r="AI595" s="45"/>
      <c r="AJ595" s="45"/>
      <c r="AK595" s="45"/>
      <c r="AL595" s="45"/>
      <c r="AM595" s="45"/>
    </row>
    <row r="596">
      <c r="AG596" s="45"/>
      <c r="AH596" s="45"/>
      <c r="AI596" s="45"/>
      <c r="AJ596" s="45"/>
      <c r="AK596" s="45"/>
      <c r="AL596" s="45"/>
      <c r="AM596" s="45"/>
    </row>
    <row r="597">
      <c r="AG597" s="45"/>
      <c r="AH597" s="45"/>
      <c r="AI597" s="45"/>
      <c r="AJ597" s="45"/>
      <c r="AK597" s="45"/>
      <c r="AL597" s="45"/>
      <c r="AM597" s="45"/>
    </row>
    <row r="598">
      <c r="AG598" s="45"/>
      <c r="AH598" s="45"/>
      <c r="AI598" s="45"/>
      <c r="AJ598" s="45"/>
      <c r="AK598" s="45"/>
      <c r="AL598" s="45"/>
      <c r="AM598" s="45"/>
    </row>
    <row r="599">
      <c r="AG599" s="45"/>
      <c r="AH599" s="45"/>
      <c r="AI599" s="45"/>
      <c r="AJ599" s="45"/>
      <c r="AK599" s="45"/>
      <c r="AL599" s="45"/>
      <c r="AM599" s="45"/>
    </row>
    <row r="600">
      <c r="AG600" s="45"/>
      <c r="AH600" s="45"/>
      <c r="AI600" s="45"/>
      <c r="AJ600" s="45"/>
      <c r="AK600" s="45"/>
      <c r="AL600" s="45"/>
      <c r="AM600" s="45"/>
    </row>
    <row r="601">
      <c r="AG601" s="45"/>
      <c r="AH601" s="45"/>
      <c r="AI601" s="45"/>
      <c r="AJ601" s="45"/>
      <c r="AK601" s="45"/>
      <c r="AL601" s="45"/>
      <c r="AM601" s="45"/>
    </row>
    <row r="602">
      <c r="AG602" s="45"/>
      <c r="AH602" s="45"/>
      <c r="AI602" s="45"/>
      <c r="AJ602" s="45"/>
      <c r="AK602" s="45"/>
      <c r="AL602" s="45"/>
      <c r="AM602" s="45"/>
    </row>
    <row r="603">
      <c r="AG603" s="45"/>
      <c r="AH603" s="45"/>
      <c r="AI603" s="45"/>
      <c r="AJ603" s="45"/>
      <c r="AK603" s="45"/>
      <c r="AL603" s="45"/>
      <c r="AM603" s="45"/>
    </row>
    <row r="604">
      <c r="AG604" s="45"/>
      <c r="AH604" s="45"/>
      <c r="AI604" s="45"/>
      <c r="AJ604" s="45"/>
      <c r="AK604" s="45"/>
      <c r="AL604" s="45"/>
      <c r="AM604" s="45"/>
    </row>
    <row r="605">
      <c r="AG605" s="45"/>
      <c r="AH605" s="45"/>
      <c r="AI605" s="45"/>
      <c r="AJ605" s="45"/>
      <c r="AK605" s="45"/>
      <c r="AL605" s="45"/>
      <c r="AM605" s="45"/>
    </row>
    <row r="606">
      <c r="AG606" s="45"/>
      <c r="AH606" s="45"/>
      <c r="AI606" s="45"/>
      <c r="AJ606" s="45"/>
      <c r="AK606" s="45"/>
      <c r="AL606" s="45"/>
      <c r="AM606" s="45"/>
    </row>
    <row r="607">
      <c r="AG607" s="45"/>
      <c r="AH607" s="45"/>
      <c r="AI607" s="45"/>
      <c r="AJ607" s="45"/>
      <c r="AK607" s="45"/>
      <c r="AL607" s="45"/>
      <c r="AM607" s="45"/>
    </row>
    <row r="608">
      <c r="AG608" s="45"/>
      <c r="AH608" s="45"/>
      <c r="AI608" s="45"/>
      <c r="AJ608" s="45"/>
      <c r="AK608" s="45"/>
      <c r="AL608" s="45"/>
      <c r="AM608" s="45"/>
    </row>
    <row r="609">
      <c r="AG609" s="45"/>
      <c r="AH609" s="45"/>
      <c r="AI609" s="45"/>
      <c r="AJ609" s="45"/>
      <c r="AK609" s="45"/>
      <c r="AL609" s="45"/>
      <c r="AM609" s="45"/>
    </row>
    <row r="610">
      <c r="AG610" s="45"/>
      <c r="AH610" s="45"/>
      <c r="AI610" s="45"/>
      <c r="AJ610" s="45"/>
      <c r="AK610" s="45"/>
      <c r="AL610" s="45"/>
      <c r="AM610" s="45"/>
    </row>
    <row r="611">
      <c r="AG611" s="45"/>
      <c r="AH611" s="45"/>
      <c r="AI611" s="45"/>
      <c r="AJ611" s="45"/>
      <c r="AK611" s="45"/>
      <c r="AL611" s="45"/>
      <c r="AM611" s="45"/>
    </row>
    <row r="612">
      <c r="AG612" s="45"/>
      <c r="AH612" s="45"/>
      <c r="AI612" s="45"/>
      <c r="AJ612" s="45"/>
      <c r="AK612" s="45"/>
      <c r="AL612" s="45"/>
      <c r="AM612" s="45"/>
    </row>
    <row r="613">
      <c r="AG613" s="45"/>
      <c r="AH613" s="45"/>
      <c r="AI613" s="45"/>
      <c r="AJ613" s="45"/>
      <c r="AK613" s="45"/>
      <c r="AL613" s="45"/>
      <c r="AM613" s="45"/>
    </row>
    <row r="614">
      <c r="AG614" s="45"/>
      <c r="AH614" s="45"/>
      <c r="AI614" s="45"/>
      <c r="AJ614" s="45"/>
      <c r="AK614" s="45"/>
      <c r="AL614" s="45"/>
      <c r="AM614" s="45"/>
    </row>
    <row r="615">
      <c r="AG615" s="45"/>
      <c r="AH615" s="45"/>
      <c r="AI615" s="45"/>
      <c r="AJ615" s="45"/>
      <c r="AK615" s="45"/>
      <c r="AL615" s="45"/>
      <c r="AM615" s="45"/>
    </row>
    <row r="616">
      <c r="AG616" s="45"/>
      <c r="AH616" s="45"/>
      <c r="AI616" s="45"/>
      <c r="AJ616" s="45"/>
      <c r="AK616" s="45"/>
      <c r="AL616" s="45"/>
      <c r="AM616" s="45"/>
    </row>
    <row r="617">
      <c r="AG617" s="45"/>
      <c r="AH617" s="45"/>
      <c r="AI617" s="45"/>
      <c r="AJ617" s="45"/>
      <c r="AK617" s="45"/>
      <c r="AL617" s="45"/>
      <c r="AM617" s="45"/>
    </row>
    <row r="618">
      <c r="AG618" s="45"/>
      <c r="AH618" s="45"/>
      <c r="AI618" s="45"/>
      <c r="AJ618" s="45"/>
      <c r="AK618" s="45"/>
      <c r="AL618" s="45"/>
      <c r="AM618" s="45"/>
    </row>
    <row r="619">
      <c r="AG619" s="45"/>
      <c r="AH619" s="45"/>
      <c r="AI619" s="45"/>
      <c r="AJ619" s="45"/>
      <c r="AK619" s="45"/>
      <c r="AL619" s="45"/>
      <c r="AM619" s="45"/>
    </row>
    <row r="620">
      <c r="AG620" s="45"/>
      <c r="AH620" s="45"/>
      <c r="AI620" s="45"/>
      <c r="AJ620" s="45"/>
      <c r="AK620" s="45"/>
      <c r="AL620" s="45"/>
      <c r="AM620" s="45"/>
    </row>
    <row r="621">
      <c r="AG621" s="45"/>
      <c r="AH621" s="45"/>
      <c r="AI621" s="45"/>
      <c r="AJ621" s="45"/>
      <c r="AK621" s="45"/>
      <c r="AL621" s="45"/>
      <c r="AM621" s="45"/>
    </row>
    <row r="622">
      <c r="AG622" s="45"/>
      <c r="AH622" s="45"/>
      <c r="AI622" s="45"/>
      <c r="AJ622" s="45"/>
      <c r="AK622" s="45"/>
      <c r="AL622" s="45"/>
      <c r="AM622" s="45"/>
    </row>
    <row r="623">
      <c r="AG623" s="45"/>
      <c r="AH623" s="45"/>
      <c r="AI623" s="45"/>
      <c r="AJ623" s="45"/>
      <c r="AK623" s="45"/>
      <c r="AL623" s="45"/>
      <c r="AM623" s="45"/>
    </row>
    <row r="624">
      <c r="AG624" s="45"/>
      <c r="AH624" s="45"/>
      <c r="AI624" s="45"/>
      <c r="AJ624" s="45"/>
      <c r="AK624" s="45"/>
      <c r="AL624" s="45"/>
      <c r="AM624" s="45"/>
    </row>
    <row r="625">
      <c r="AG625" s="45"/>
      <c r="AH625" s="45"/>
      <c r="AI625" s="45"/>
      <c r="AJ625" s="45"/>
      <c r="AK625" s="45"/>
      <c r="AL625" s="45"/>
      <c r="AM625" s="45"/>
    </row>
    <row r="626">
      <c r="AG626" s="45"/>
      <c r="AH626" s="45"/>
      <c r="AI626" s="45"/>
      <c r="AJ626" s="45"/>
      <c r="AK626" s="45"/>
      <c r="AL626" s="45"/>
      <c r="AM626" s="45"/>
    </row>
    <row r="627">
      <c r="AG627" s="45"/>
      <c r="AH627" s="45"/>
      <c r="AI627" s="45"/>
      <c r="AJ627" s="45"/>
      <c r="AK627" s="45"/>
      <c r="AL627" s="45"/>
      <c r="AM627" s="45"/>
    </row>
    <row r="628">
      <c r="AG628" s="45"/>
      <c r="AH628" s="45"/>
      <c r="AI628" s="45"/>
      <c r="AJ628" s="45"/>
      <c r="AK628" s="45"/>
      <c r="AL628" s="45"/>
      <c r="AM628" s="45"/>
    </row>
    <row r="629">
      <c r="AG629" s="45"/>
      <c r="AH629" s="45"/>
      <c r="AI629" s="45"/>
      <c r="AJ629" s="45"/>
      <c r="AK629" s="45"/>
      <c r="AL629" s="45"/>
      <c r="AM629" s="45"/>
    </row>
    <row r="630">
      <c r="AG630" s="45"/>
      <c r="AH630" s="45"/>
      <c r="AI630" s="45"/>
      <c r="AJ630" s="45"/>
      <c r="AK630" s="45"/>
      <c r="AL630" s="45"/>
      <c r="AM630" s="45"/>
    </row>
    <row r="631">
      <c r="AG631" s="45"/>
      <c r="AH631" s="45"/>
      <c r="AI631" s="45"/>
      <c r="AJ631" s="45"/>
      <c r="AK631" s="45"/>
      <c r="AL631" s="45"/>
      <c r="AM631" s="45"/>
    </row>
    <row r="632">
      <c r="AG632" s="45"/>
      <c r="AH632" s="45"/>
      <c r="AI632" s="45"/>
      <c r="AJ632" s="45"/>
      <c r="AK632" s="45"/>
      <c r="AL632" s="45"/>
      <c r="AM632" s="45"/>
    </row>
    <row r="633">
      <c r="AG633" s="45"/>
      <c r="AH633" s="45"/>
      <c r="AI633" s="45"/>
      <c r="AJ633" s="45"/>
      <c r="AK633" s="45"/>
      <c r="AL633" s="45"/>
      <c r="AM633" s="45"/>
    </row>
    <row r="634">
      <c r="AG634" s="45"/>
      <c r="AH634" s="45"/>
      <c r="AI634" s="45"/>
      <c r="AJ634" s="45"/>
      <c r="AK634" s="45"/>
      <c r="AL634" s="45"/>
      <c r="AM634" s="45"/>
    </row>
    <row r="635">
      <c r="AG635" s="45"/>
      <c r="AH635" s="45"/>
      <c r="AI635" s="45"/>
      <c r="AJ635" s="45"/>
      <c r="AK635" s="45"/>
      <c r="AL635" s="45"/>
      <c r="AM635" s="45"/>
    </row>
    <row r="636">
      <c r="AG636" s="45"/>
      <c r="AH636" s="45"/>
      <c r="AI636" s="45"/>
      <c r="AJ636" s="45"/>
      <c r="AK636" s="45"/>
      <c r="AL636" s="45"/>
      <c r="AM636" s="45"/>
    </row>
    <row r="637">
      <c r="AG637" s="45"/>
      <c r="AH637" s="45"/>
      <c r="AI637" s="45"/>
      <c r="AJ637" s="45"/>
      <c r="AK637" s="45"/>
      <c r="AL637" s="45"/>
      <c r="AM637" s="45"/>
    </row>
    <row r="638">
      <c r="AG638" s="45"/>
      <c r="AH638" s="45"/>
      <c r="AI638" s="45"/>
      <c r="AJ638" s="45"/>
      <c r="AK638" s="45"/>
      <c r="AL638" s="45"/>
      <c r="AM638" s="45"/>
    </row>
    <row r="639">
      <c r="AG639" s="45"/>
      <c r="AH639" s="45"/>
      <c r="AI639" s="45"/>
      <c r="AJ639" s="45"/>
      <c r="AK639" s="45"/>
      <c r="AL639" s="45"/>
      <c r="AM639" s="45"/>
    </row>
    <row r="640">
      <c r="AG640" s="45"/>
      <c r="AH640" s="45"/>
      <c r="AI640" s="45"/>
      <c r="AJ640" s="45"/>
      <c r="AK640" s="45"/>
      <c r="AL640" s="45"/>
      <c r="AM640" s="45"/>
    </row>
    <row r="641">
      <c r="AG641" s="45"/>
      <c r="AH641" s="45"/>
      <c r="AI641" s="45"/>
      <c r="AJ641" s="45"/>
      <c r="AK641" s="45"/>
      <c r="AL641" s="45"/>
      <c r="AM641" s="45"/>
    </row>
    <row r="642">
      <c r="AG642" s="45"/>
      <c r="AH642" s="45"/>
      <c r="AI642" s="45"/>
      <c r="AJ642" s="45"/>
      <c r="AK642" s="45"/>
      <c r="AL642" s="45"/>
      <c r="AM642" s="45"/>
    </row>
    <row r="643">
      <c r="AG643" s="45"/>
      <c r="AH643" s="45"/>
      <c r="AI643" s="45"/>
      <c r="AJ643" s="45"/>
      <c r="AK643" s="45"/>
      <c r="AL643" s="45"/>
      <c r="AM643" s="45"/>
    </row>
    <row r="644">
      <c r="AG644" s="45"/>
      <c r="AH644" s="45"/>
      <c r="AI644" s="45"/>
      <c r="AJ644" s="45"/>
      <c r="AK644" s="45"/>
      <c r="AL644" s="45"/>
      <c r="AM644" s="45"/>
    </row>
    <row r="645">
      <c r="AG645" s="45"/>
      <c r="AH645" s="45"/>
      <c r="AI645" s="45"/>
      <c r="AJ645" s="45"/>
      <c r="AK645" s="45"/>
      <c r="AL645" s="45"/>
      <c r="AM645" s="45"/>
    </row>
    <row r="646">
      <c r="AG646" s="45"/>
      <c r="AH646" s="45"/>
      <c r="AI646" s="45"/>
      <c r="AJ646" s="45"/>
      <c r="AK646" s="45"/>
      <c r="AL646" s="45"/>
      <c r="AM646" s="45"/>
    </row>
    <row r="647">
      <c r="AG647" s="45"/>
      <c r="AH647" s="45"/>
      <c r="AI647" s="45"/>
      <c r="AJ647" s="45"/>
      <c r="AK647" s="45"/>
      <c r="AL647" s="45"/>
      <c r="AM647" s="45"/>
    </row>
    <row r="648">
      <c r="AG648" s="45"/>
      <c r="AH648" s="45"/>
      <c r="AI648" s="45"/>
      <c r="AJ648" s="45"/>
      <c r="AK648" s="45"/>
      <c r="AL648" s="45"/>
      <c r="AM648" s="45"/>
    </row>
    <row r="649">
      <c r="AG649" s="45"/>
      <c r="AH649" s="45"/>
      <c r="AI649" s="45"/>
      <c r="AJ649" s="45"/>
      <c r="AK649" s="45"/>
      <c r="AL649" s="45"/>
      <c r="AM649" s="45"/>
    </row>
    <row r="650">
      <c r="AG650" s="45"/>
      <c r="AH650" s="45"/>
      <c r="AI650" s="45"/>
      <c r="AJ650" s="45"/>
      <c r="AK650" s="45"/>
      <c r="AL650" s="45"/>
      <c r="AM650" s="45"/>
    </row>
    <row r="651">
      <c r="AG651" s="45"/>
      <c r="AH651" s="45"/>
      <c r="AI651" s="45"/>
      <c r="AJ651" s="45"/>
      <c r="AK651" s="45"/>
      <c r="AL651" s="45"/>
      <c r="AM651" s="45"/>
    </row>
    <row r="652">
      <c r="AG652" s="45"/>
      <c r="AH652" s="45"/>
      <c r="AI652" s="45"/>
      <c r="AJ652" s="45"/>
      <c r="AK652" s="45"/>
      <c r="AL652" s="45"/>
      <c r="AM652" s="45"/>
    </row>
    <row r="653">
      <c r="AG653" s="45"/>
      <c r="AH653" s="45"/>
      <c r="AI653" s="45"/>
      <c r="AJ653" s="45"/>
      <c r="AK653" s="45"/>
      <c r="AL653" s="45"/>
      <c r="AM653" s="45"/>
    </row>
    <row r="654">
      <c r="AG654" s="45"/>
      <c r="AH654" s="45"/>
      <c r="AI654" s="45"/>
      <c r="AJ654" s="45"/>
      <c r="AK654" s="45"/>
      <c r="AL654" s="45"/>
      <c r="AM654" s="45"/>
    </row>
    <row r="655">
      <c r="AG655" s="45"/>
      <c r="AH655" s="45"/>
      <c r="AI655" s="45"/>
      <c r="AJ655" s="45"/>
      <c r="AK655" s="45"/>
      <c r="AL655" s="45"/>
      <c r="AM655" s="45"/>
    </row>
    <row r="656">
      <c r="AG656" s="45"/>
      <c r="AH656" s="45"/>
      <c r="AI656" s="45"/>
      <c r="AJ656" s="45"/>
      <c r="AK656" s="45"/>
      <c r="AL656" s="45"/>
      <c r="AM656" s="45"/>
    </row>
    <row r="657">
      <c r="AG657" s="45"/>
      <c r="AH657" s="45"/>
      <c r="AI657" s="45"/>
      <c r="AJ657" s="45"/>
      <c r="AK657" s="45"/>
      <c r="AL657" s="45"/>
      <c r="AM657" s="45"/>
    </row>
    <row r="658">
      <c r="AG658" s="45"/>
      <c r="AH658" s="45"/>
      <c r="AI658" s="45"/>
      <c r="AJ658" s="45"/>
      <c r="AK658" s="45"/>
      <c r="AL658" s="45"/>
      <c r="AM658" s="45"/>
    </row>
    <row r="659">
      <c r="AG659" s="45"/>
      <c r="AH659" s="45"/>
      <c r="AI659" s="45"/>
      <c r="AJ659" s="45"/>
      <c r="AK659" s="45"/>
      <c r="AL659" s="45"/>
      <c r="AM659" s="45"/>
    </row>
    <row r="660">
      <c r="AG660" s="45"/>
      <c r="AH660" s="45"/>
      <c r="AI660" s="45"/>
      <c r="AJ660" s="45"/>
      <c r="AK660" s="45"/>
      <c r="AL660" s="45"/>
      <c r="AM660" s="45"/>
    </row>
    <row r="661">
      <c r="AG661" s="45"/>
      <c r="AH661" s="45"/>
      <c r="AI661" s="45"/>
      <c r="AJ661" s="45"/>
      <c r="AK661" s="45"/>
      <c r="AL661" s="45"/>
      <c r="AM661" s="45"/>
    </row>
    <row r="662">
      <c r="AG662" s="45"/>
      <c r="AH662" s="45"/>
      <c r="AI662" s="45"/>
      <c r="AJ662" s="45"/>
      <c r="AK662" s="45"/>
      <c r="AL662" s="45"/>
      <c r="AM662" s="45"/>
    </row>
    <row r="663">
      <c r="AG663" s="45"/>
      <c r="AH663" s="45"/>
      <c r="AI663" s="45"/>
      <c r="AJ663" s="45"/>
      <c r="AK663" s="45"/>
      <c r="AL663" s="45"/>
      <c r="AM663" s="45"/>
    </row>
    <row r="664">
      <c r="AG664" s="45"/>
      <c r="AH664" s="45"/>
      <c r="AI664" s="45"/>
      <c r="AJ664" s="45"/>
      <c r="AK664" s="45"/>
      <c r="AL664" s="45"/>
      <c r="AM664" s="45"/>
    </row>
    <row r="665">
      <c r="AG665" s="45"/>
      <c r="AH665" s="45"/>
      <c r="AI665" s="45"/>
      <c r="AJ665" s="45"/>
      <c r="AK665" s="45"/>
      <c r="AL665" s="45"/>
      <c r="AM665" s="45"/>
    </row>
    <row r="666">
      <c r="AG666" s="45"/>
      <c r="AH666" s="45"/>
      <c r="AI666" s="45"/>
      <c r="AJ666" s="45"/>
      <c r="AK666" s="45"/>
      <c r="AL666" s="45"/>
      <c r="AM666" s="45"/>
    </row>
    <row r="667">
      <c r="AG667" s="45"/>
      <c r="AH667" s="45"/>
      <c r="AI667" s="45"/>
      <c r="AJ667" s="45"/>
      <c r="AK667" s="45"/>
      <c r="AL667" s="45"/>
      <c r="AM667" s="45"/>
    </row>
    <row r="668">
      <c r="AG668" s="45"/>
      <c r="AH668" s="45"/>
      <c r="AI668" s="45"/>
      <c r="AJ668" s="45"/>
      <c r="AK668" s="45"/>
      <c r="AL668" s="45"/>
      <c r="AM668" s="45"/>
    </row>
    <row r="669">
      <c r="AG669" s="45"/>
      <c r="AH669" s="45"/>
      <c r="AI669" s="45"/>
      <c r="AJ669" s="45"/>
      <c r="AK669" s="45"/>
      <c r="AL669" s="45"/>
      <c r="AM669" s="45"/>
    </row>
    <row r="670">
      <c r="AG670" s="45"/>
      <c r="AH670" s="45"/>
      <c r="AI670" s="45"/>
      <c r="AJ670" s="45"/>
      <c r="AK670" s="45"/>
      <c r="AL670" s="45"/>
      <c r="AM670" s="45"/>
    </row>
    <row r="671">
      <c r="AG671" s="45"/>
      <c r="AH671" s="45"/>
      <c r="AI671" s="45"/>
      <c r="AJ671" s="45"/>
      <c r="AK671" s="45"/>
      <c r="AL671" s="45"/>
      <c r="AM671" s="45"/>
    </row>
    <row r="672">
      <c r="AG672" s="45"/>
      <c r="AH672" s="45"/>
      <c r="AI672" s="45"/>
      <c r="AJ672" s="45"/>
      <c r="AK672" s="45"/>
      <c r="AL672" s="45"/>
      <c r="AM672" s="45"/>
    </row>
    <row r="673">
      <c r="AG673" s="45"/>
      <c r="AH673" s="45"/>
      <c r="AI673" s="45"/>
      <c r="AJ673" s="45"/>
      <c r="AK673" s="45"/>
      <c r="AL673" s="45"/>
      <c r="AM673" s="45"/>
    </row>
    <row r="674">
      <c r="AG674" s="45"/>
      <c r="AH674" s="45"/>
      <c r="AI674" s="45"/>
      <c r="AJ674" s="45"/>
      <c r="AK674" s="45"/>
      <c r="AL674" s="45"/>
      <c r="AM674" s="45"/>
    </row>
    <row r="675">
      <c r="AG675" s="45"/>
      <c r="AH675" s="45"/>
      <c r="AI675" s="45"/>
      <c r="AJ675" s="45"/>
      <c r="AK675" s="45"/>
      <c r="AL675" s="45"/>
      <c r="AM675" s="45"/>
    </row>
    <row r="676">
      <c r="AG676" s="45"/>
      <c r="AH676" s="45"/>
      <c r="AI676" s="45"/>
      <c r="AJ676" s="45"/>
      <c r="AK676" s="45"/>
      <c r="AL676" s="45"/>
      <c r="AM676" s="45"/>
    </row>
    <row r="677">
      <c r="AG677" s="45"/>
      <c r="AH677" s="45"/>
      <c r="AI677" s="45"/>
      <c r="AJ677" s="45"/>
      <c r="AK677" s="45"/>
      <c r="AL677" s="45"/>
      <c r="AM677" s="45"/>
    </row>
    <row r="678">
      <c r="AG678" s="45"/>
      <c r="AH678" s="45"/>
      <c r="AI678" s="45"/>
      <c r="AJ678" s="45"/>
      <c r="AK678" s="45"/>
      <c r="AL678" s="45"/>
      <c r="AM678" s="45"/>
    </row>
    <row r="679">
      <c r="AG679" s="45"/>
      <c r="AH679" s="45"/>
      <c r="AI679" s="45"/>
      <c r="AJ679" s="45"/>
      <c r="AK679" s="45"/>
      <c r="AL679" s="45"/>
      <c r="AM679" s="45"/>
    </row>
    <row r="680">
      <c r="AG680" s="45"/>
      <c r="AH680" s="45"/>
      <c r="AI680" s="45"/>
      <c r="AJ680" s="45"/>
      <c r="AK680" s="45"/>
      <c r="AL680" s="45"/>
      <c r="AM680" s="45"/>
    </row>
    <row r="681">
      <c r="AG681" s="45"/>
      <c r="AH681" s="45"/>
      <c r="AI681" s="45"/>
      <c r="AJ681" s="45"/>
      <c r="AK681" s="45"/>
      <c r="AL681" s="45"/>
      <c r="AM681" s="45"/>
    </row>
    <row r="682">
      <c r="AG682" s="45"/>
      <c r="AH682" s="45"/>
      <c r="AI682" s="45"/>
      <c r="AJ682" s="45"/>
      <c r="AK682" s="45"/>
      <c r="AL682" s="45"/>
      <c r="AM682" s="45"/>
    </row>
    <row r="683">
      <c r="AG683" s="45"/>
      <c r="AH683" s="45"/>
      <c r="AI683" s="45"/>
      <c r="AJ683" s="45"/>
      <c r="AK683" s="45"/>
      <c r="AL683" s="45"/>
      <c r="AM683" s="45"/>
    </row>
    <row r="684">
      <c r="AG684" s="45"/>
      <c r="AH684" s="45"/>
      <c r="AI684" s="45"/>
      <c r="AJ684" s="45"/>
      <c r="AK684" s="45"/>
      <c r="AL684" s="45"/>
      <c r="AM684" s="45"/>
    </row>
    <row r="685">
      <c r="AG685" s="45"/>
      <c r="AH685" s="45"/>
      <c r="AI685" s="45"/>
      <c r="AJ685" s="45"/>
      <c r="AK685" s="45"/>
      <c r="AL685" s="45"/>
      <c r="AM685" s="45"/>
    </row>
    <row r="686">
      <c r="AG686" s="45"/>
      <c r="AH686" s="45"/>
      <c r="AI686" s="45"/>
      <c r="AJ686" s="45"/>
      <c r="AK686" s="45"/>
      <c r="AL686" s="45"/>
      <c r="AM686" s="45"/>
    </row>
    <row r="687">
      <c r="AG687" s="45"/>
      <c r="AH687" s="45"/>
      <c r="AI687" s="45"/>
      <c r="AJ687" s="45"/>
      <c r="AK687" s="45"/>
      <c r="AL687" s="45"/>
      <c r="AM687" s="45"/>
    </row>
    <row r="688">
      <c r="AG688" s="45"/>
      <c r="AH688" s="45"/>
      <c r="AI688" s="45"/>
      <c r="AJ688" s="45"/>
      <c r="AK688" s="45"/>
      <c r="AL688" s="45"/>
      <c r="AM688" s="45"/>
    </row>
    <row r="689">
      <c r="AG689" s="45"/>
      <c r="AH689" s="45"/>
      <c r="AI689" s="45"/>
      <c r="AJ689" s="45"/>
      <c r="AK689" s="45"/>
      <c r="AL689" s="45"/>
      <c r="AM689" s="45"/>
    </row>
    <row r="690">
      <c r="AG690" s="45"/>
      <c r="AH690" s="45"/>
      <c r="AI690" s="45"/>
      <c r="AJ690" s="45"/>
      <c r="AK690" s="45"/>
      <c r="AL690" s="45"/>
      <c r="AM690" s="45"/>
    </row>
    <row r="691">
      <c r="AG691" s="45"/>
      <c r="AH691" s="45"/>
      <c r="AI691" s="45"/>
      <c r="AJ691" s="45"/>
      <c r="AK691" s="45"/>
      <c r="AL691" s="45"/>
      <c r="AM691" s="45"/>
    </row>
    <row r="692">
      <c r="AG692" s="45"/>
      <c r="AH692" s="45"/>
      <c r="AI692" s="45"/>
      <c r="AJ692" s="45"/>
      <c r="AK692" s="45"/>
      <c r="AL692" s="45"/>
      <c r="AM692" s="45"/>
    </row>
    <row r="693">
      <c r="AG693" s="45"/>
      <c r="AH693" s="45"/>
      <c r="AI693" s="45"/>
      <c r="AJ693" s="45"/>
      <c r="AK693" s="45"/>
      <c r="AL693" s="45"/>
      <c r="AM693" s="45"/>
    </row>
    <row r="694">
      <c r="AG694" s="45"/>
      <c r="AH694" s="45"/>
      <c r="AI694" s="45"/>
      <c r="AJ694" s="45"/>
      <c r="AK694" s="45"/>
      <c r="AL694" s="45"/>
      <c r="AM694" s="45"/>
    </row>
    <row r="695">
      <c r="AG695" s="45"/>
      <c r="AH695" s="45"/>
      <c r="AI695" s="45"/>
      <c r="AJ695" s="45"/>
      <c r="AK695" s="45"/>
      <c r="AL695" s="45"/>
      <c r="AM695" s="45"/>
    </row>
    <row r="696">
      <c r="AG696" s="45"/>
      <c r="AH696" s="45"/>
      <c r="AI696" s="45"/>
      <c r="AJ696" s="45"/>
      <c r="AK696" s="45"/>
      <c r="AL696" s="45"/>
      <c r="AM696" s="45"/>
    </row>
    <row r="697">
      <c r="AG697" s="45"/>
      <c r="AH697" s="45"/>
      <c r="AI697" s="45"/>
      <c r="AJ697" s="45"/>
      <c r="AK697" s="45"/>
      <c r="AL697" s="45"/>
      <c r="AM697" s="45"/>
    </row>
    <row r="698">
      <c r="AG698" s="45"/>
      <c r="AH698" s="45"/>
      <c r="AI698" s="45"/>
      <c r="AJ698" s="45"/>
      <c r="AK698" s="45"/>
      <c r="AL698" s="45"/>
      <c r="AM698" s="45"/>
    </row>
    <row r="699">
      <c r="AG699" s="45"/>
      <c r="AH699" s="45"/>
      <c r="AI699" s="45"/>
      <c r="AJ699" s="45"/>
      <c r="AK699" s="45"/>
      <c r="AL699" s="45"/>
      <c r="AM699" s="45"/>
    </row>
    <row r="700">
      <c r="AG700" s="45"/>
      <c r="AH700" s="45"/>
      <c r="AI700" s="45"/>
      <c r="AJ700" s="45"/>
      <c r="AK700" s="45"/>
      <c r="AL700" s="45"/>
      <c r="AM700" s="45"/>
    </row>
    <row r="701">
      <c r="AG701" s="45"/>
      <c r="AH701" s="45"/>
      <c r="AI701" s="45"/>
      <c r="AJ701" s="45"/>
      <c r="AK701" s="45"/>
      <c r="AL701" s="45"/>
      <c r="AM701" s="45"/>
    </row>
    <row r="702">
      <c r="AG702" s="45"/>
      <c r="AH702" s="45"/>
      <c r="AI702" s="45"/>
      <c r="AJ702" s="45"/>
      <c r="AK702" s="45"/>
      <c r="AL702" s="45"/>
      <c r="AM702" s="45"/>
    </row>
    <row r="703">
      <c r="AG703" s="45"/>
      <c r="AH703" s="45"/>
      <c r="AI703" s="45"/>
      <c r="AJ703" s="45"/>
      <c r="AK703" s="45"/>
      <c r="AL703" s="45"/>
      <c r="AM703" s="45"/>
    </row>
    <row r="704">
      <c r="AG704" s="45"/>
      <c r="AH704" s="45"/>
      <c r="AI704" s="45"/>
      <c r="AJ704" s="45"/>
      <c r="AK704" s="45"/>
      <c r="AL704" s="45"/>
      <c r="AM704" s="45"/>
    </row>
    <row r="705">
      <c r="AG705" s="45"/>
      <c r="AH705" s="45"/>
      <c r="AI705" s="45"/>
      <c r="AJ705" s="45"/>
      <c r="AK705" s="45"/>
      <c r="AL705" s="45"/>
      <c r="AM705" s="45"/>
    </row>
    <row r="706">
      <c r="AG706" s="45"/>
      <c r="AH706" s="45"/>
      <c r="AI706" s="45"/>
      <c r="AJ706" s="45"/>
      <c r="AK706" s="45"/>
      <c r="AL706" s="45"/>
      <c r="AM706" s="45"/>
    </row>
    <row r="707">
      <c r="AG707" s="45"/>
      <c r="AH707" s="45"/>
      <c r="AI707" s="45"/>
      <c r="AJ707" s="45"/>
      <c r="AK707" s="45"/>
      <c r="AL707" s="45"/>
      <c r="AM707" s="45"/>
    </row>
    <row r="708">
      <c r="AG708" s="45"/>
      <c r="AH708" s="45"/>
      <c r="AI708" s="45"/>
      <c r="AJ708" s="45"/>
      <c r="AK708" s="45"/>
      <c r="AL708" s="45"/>
      <c r="AM708" s="45"/>
    </row>
    <row r="709">
      <c r="AG709" s="45"/>
      <c r="AH709" s="45"/>
      <c r="AI709" s="45"/>
      <c r="AJ709" s="45"/>
      <c r="AK709" s="45"/>
      <c r="AL709" s="45"/>
      <c r="AM709" s="45"/>
    </row>
    <row r="710">
      <c r="AG710" s="45"/>
      <c r="AH710" s="45"/>
      <c r="AI710" s="45"/>
      <c r="AJ710" s="45"/>
      <c r="AK710" s="45"/>
      <c r="AL710" s="45"/>
      <c r="AM710" s="45"/>
    </row>
    <row r="711">
      <c r="AG711" s="45"/>
      <c r="AH711" s="45"/>
      <c r="AI711" s="45"/>
      <c r="AJ711" s="45"/>
      <c r="AK711" s="45"/>
      <c r="AL711" s="45"/>
      <c r="AM711" s="45"/>
    </row>
    <row r="712">
      <c r="AG712" s="45"/>
      <c r="AH712" s="45"/>
      <c r="AI712" s="45"/>
      <c r="AJ712" s="45"/>
      <c r="AK712" s="45"/>
      <c r="AL712" s="45"/>
      <c r="AM712" s="45"/>
    </row>
    <row r="713">
      <c r="AG713" s="45"/>
      <c r="AH713" s="45"/>
      <c r="AI713" s="45"/>
      <c r="AJ713" s="45"/>
      <c r="AK713" s="45"/>
      <c r="AL713" s="45"/>
      <c r="AM713" s="45"/>
    </row>
    <row r="714">
      <c r="AG714" s="45"/>
      <c r="AH714" s="45"/>
      <c r="AI714" s="45"/>
      <c r="AJ714" s="45"/>
      <c r="AK714" s="45"/>
      <c r="AL714" s="45"/>
      <c r="AM714" s="45"/>
    </row>
    <row r="715">
      <c r="AG715" s="45"/>
      <c r="AH715" s="45"/>
      <c r="AI715" s="45"/>
      <c r="AJ715" s="45"/>
      <c r="AK715" s="45"/>
      <c r="AL715" s="45"/>
      <c r="AM715" s="45"/>
    </row>
    <row r="716">
      <c r="AG716" s="45"/>
      <c r="AH716" s="45"/>
      <c r="AI716" s="45"/>
      <c r="AJ716" s="45"/>
      <c r="AK716" s="45"/>
      <c r="AL716" s="45"/>
      <c r="AM716" s="45"/>
    </row>
    <row r="717">
      <c r="AG717" s="45"/>
      <c r="AH717" s="45"/>
      <c r="AI717" s="45"/>
      <c r="AJ717" s="45"/>
      <c r="AK717" s="45"/>
      <c r="AL717" s="45"/>
      <c r="AM717" s="45"/>
    </row>
    <row r="718">
      <c r="AG718" s="45"/>
      <c r="AH718" s="45"/>
      <c r="AI718" s="45"/>
      <c r="AJ718" s="45"/>
      <c r="AK718" s="45"/>
      <c r="AL718" s="45"/>
      <c r="AM718" s="45"/>
    </row>
    <row r="719">
      <c r="AG719" s="45"/>
      <c r="AH719" s="45"/>
      <c r="AI719" s="45"/>
      <c r="AJ719" s="45"/>
      <c r="AK719" s="45"/>
      <c r="AL719" s="45"/>
      <c r="AM719" s="45"/>
    </row>
    <row r="720">
      <c r="AG720" s="45"/>
      <c r="AH720" s="45"/>
      <c r="AI720" s="45"/>
      <c r="AJ720" s="45"/>
      <c r="AK720" s="45"/>
      <c r="AL720" s="45"/>
      <c r="AM720" s="45"/>
    </row>
    <row r="721">
      <c r="AG721" s="45"/>
      <c r="AH721" s="45"/>
      <c r="AI721" s="45"/>
      <c r="AJ721" s="45"/>
      <c r="AK721" s="45"/>
      <c r="AL721" s="45"/>
      <c r="AM721" s="45"/>
    </row>
    <row r="722">
      <c r="AG722" s="45"/>
      <c r="AH722" s="45"/>
      <c r="AI722" s="45"/>
      <c r="AJ722" s="45"/>
      <c r="AK722" s="45"/>
      <c r="AL722" s="45"/>
      <c r="AM722" s="45"/>
    </row>
    <row r="723">
      <c r="AG723" s="45"/>
      <c r="AH723" s="45"/>
      <c r="AI723" s="45"/>
      <c r="AJ723" s="45"/>
      <c r="AK723" s="45"/>
      <c r="AL723" s="45"/>
      <c r="AM723" s="45"/>
    </row>
    <row r="724">
      <c r="AG724" s="45"/>
      <c r="AH724" s="45"/>
      <c r="AI724" s="45"/>
      <c r="AJ724" s="45"/>
      <c r="AK724" s="45"/>
      <c r="AL724" s="45"/>
      <c r="AM724" s="45"/>
    </row>
    <row r="725">
      <c r="AG725" s="45"/>
      <c r="AH725" s="45"/>
      <c r="AI725" s="45"/>
      <c r="AJ725" s="45"/>
      <c r="AK725" s="45"/>
      <c r="AL725" s="45"/>
      <c r="AM725" s="45"/>
    </row>
    <row r="726">
      <c r="AG726" s="45"/>
      <c r="AH726" s="45"/>
      <c r="AI726" s="45"/>
      <c r="AJ726" s="45"/>
      <c r="AK726" s="45"/>
      <c r="AL726" s="45"/>
      <c r="AM726" s="45"/>
    </row>
    <row r="727">
      <c r="AG727" s="45"/>
      <c r="AH727" s="45"/>
      <c r="AI727" s="45"/>
      <c r="AJ727" s="45"/>
      <c r="AK727" s="45"/>
      <c r="AL727" s="45"/>
      <c r="AM727" s="45"/>
    </row>
    <row r="728">
      <c r="AG728" s="45"/>
      <c r="AH728" s="45"/>
      <c r="AI728" s="45"/>
      <c r="AJ728" s="45"/>
      <c r="AK728" s="45"/>
      <c r="AL728" s="45"/>
      <c r="AM728" s="45"/>
    </row>
    <row r="729">
      <c r="AG729" s="45"/>
      <c r="AH729" s="45"/>
      <c r="AI729" s="45"/>
      <c r="AJ729" s="45"/>
      <c r="AK729" s="45"/>
      <c r="AL729" s="45"/>
      <c r="AM729" s="45"/>
    </row>
    <row r="730">
      <c r="AG730" s="45"/>
      <c r="AH730" s="45"/>
      <c r="AI730" s="45"/>
      <c r="AJ730" s="45"/>
      <c r="AK730" s="45"/>
      <c r="AL730" s="45"/>
      <c r="AM730" s="45"/>
    </row>
    <row r="731">
      <c r="AG731" s="45"/>
      <c r="AH731" s="45"/>
      <c r="AI731" s="45"/>
      <c r="AJ731" s="45"/>
      <c r="AK731" s="45"/>
      <c r="AL731" s="45"/>
      <c r="AM731" s="45"/>
    </row>
    <row r="732">
      <c r="AG732" s="45"/>
      <c r="AH732" s="45"/>
      <c r="AI732" s="45"/>
      <c r="AJ732" s="45"/>
      <c r="AK732" s="45"/>
      <c r="AL732" s="45"/>
      <c r="AM732" s="45"/>
    </row>
    <row r="733">
      <c r="AG733" s="45"/>
      <c r="AH733" s="45"/>
      <c r="AI733" s="45"/>
      <c r="AJ733" s="45"/>
      <c r="AK733" s="45"/>
      <c r="AL733" s="45"/>
      <c r="AM733" s="45"/>
    </row>
    <row r="734">
      <c r="AG734" s="45"/>
      <c r="AH734" s="45"/>
      <c r="AI734" s="45"/>
      <c r="AJ734" s="45"/>
      <c r="AK734" s="45"/>
      <c r="AL734" s="45"/>
      <c r="AM734" s="45"/>
    </row>
    <row r="735">
      <c r="AG735" s="45"/>
      <c r="AH735" s="45"/>
      <c r="AI735" s="45"/>
      <c r="AJ735" s="45"/>
      <c r="AK735" s="45"/>
      <c r="AL735" s="45"/>
      <c r="AM735" s="45"/>
    </row>
    <row r="736">
      <c r="AG736" s="45"/>
      <c r="AH736" s="45"/>
      <c r="AI736" s="45"/>
      <c r="AJ736" s="45"/>
      <c r="AK736" s="45"/>
      <c r="AL736" s="45"/>
      <c r="AM736" s="45"/>
    </row>
    <row r="737">
      <c r="AG737" s="45"/>
      <c r="AH737" s="45"/>
      <c r="AI737" s="45"/>
      <c r="AJ737" s="45"/>
      <c r="AK737" s="45"/>
      <c r="AL737" s="45"/>
      <c r="AM737" s="45"/>
    </row>
    <row r="738">
      <c r="AG738" s="45"/>
      <c r="AH738" s="45"/>
      <c r="AI738" s="45"/>
      <c r="AJ738" s="45"/>
      <c r="AK738" s="45"/>
      <c r="AL738" s="45"/>
      <c r="AM738" s="45"/>
    </row>
    <row r="739">
      <c r="AG739" s="45"/>
      <c r="AH739" s="45"/>
      <c r="AI739" s="45"/>
      <c r="AJ739" s="45"/>
      <c r="AK739" s="45"/>
      <c r="AL739" s="45"/>
      <c r="AM739" s="45"/>
    </row>
    <row r="740">
      <c r="AG740" s="45"/>
      <c r="AH740" s="45"/>
      <c r="AI740" s="45"/>
      <c r="AJ740" s="45"/>
      <c r="AK740" s="45"/>
      <c r="AL740" s="45"/>
      <c r="AM740" s="45"/>
    </row>
    <row r="741">
      <c r="AG741" s="45"/>
      <c r="AH741" s="45"/>
      <c r="AI741" s="45"/>
      <c r="AJ741" s="45"/>
      <c r="AK741" s="45"/>
      <c r="AL741" s="45"/>
      <c r="AM741" s="45"/>
    </row>
    <row r="742">
      <c r="AG742" s="45"/>
      <c r="AH742" s="45"/>
      <c r="AI742" s="45"/>
      <c r="AJ742" s="45"/>
      <c r="AK742" s="45"/>
      <c r="AL742" s="45"/>
      <c r="AM742" s="45"/>
    </row>
    <row r="743">
      <c r="AG743" s="45"/>
      <c r="AH743" s="45"/>
      <c r="AI743" s="45"/>
      <c r="AJ743" s="45"/>
      <c r="AK743" s="45"/>
      <c r="AL743" s="45"/>
      <c r="AM743" s="45"/>
    </row>
    <row r="744">
      <c r="AG744" s="45"/>
      <c r="AH744" s="45"/>
      <c r="AI744" s="45"/>
      <c r="AJ744" s="45"/>
      <c r="AK744" s="45"/>
      <c r="AL744" s="45"/>
      <c r="AM744" s="45"/>
    </row>
    <row r="745">
      <c r="AG745" s="45"/>
      <c r="AH745" s="45"/>
      <c r="AI745" s="45"/>
      <c r="AJ745" s="45"/>
      <c r="AK745" s="45"/>
      <c r="AL745" s="45"/>
      <c r="AM745" s="45"/>
    </row>
    <row r="746">
      <c r="AG746" s="45"/>
      <c r="AH746" s="45"/>
      <c r="AI746" s="45"/>
      <c r="AJ746" s="45"/>
      <c r="AK746" s="45"/>
      <c r="AL746" s="45"/>
      <c r="AM746" s="45"/>
    </row>
    <row r="747">
      <c r="AG747" s="45"/>
      <c r="AH747" s="45"/>
      <c r="AI747" s="45"/>
      <c r="AJ747" s="45"/>
      <c r="AK747" s="45"/>
      <c r="AL747" s="45"/>
      <c r="AM747" s="45"/>
    </row>
    <row r="748">
      <c r="AG748" s="45"/>
      <c r="AH748" s="45"/>
      <c r="AI748" s="45"/>
      <c r="AJ748" s="45"/>
      <c r="AK748" s="45"/>
      <c r="AL748" s="45"/>
      <c r="AM748" s="45"/>
    </row>
    <row r="749">
      <c r="AG749" s="45"/>
      <c r="AH749" s="45"/>
      <c r="AI749" s="45"/>
      <c r="AJ749" s="45"/>
      <c r="AK749" s="45"/>
      <c r="AL749" s="45"/>
      <c r="AM749" s="45"/>
    </row>
    <row r="750">
      <c r="AG750" s="45"/>
      <c r="AH750" s="45"/>
      <c r="AI750" s="45"/>
      <c r="AJ750" s="45"/>
      <c r="AK750" s="45"/>
      <c r="AL750" s="45"/>
      <c r="AM750" s="45"/>
    </row>
    <row r="751">
      <c r="AG751" s="45"/>
      <c r="AH751" s="45"/>
      <c r="AI751" s="45"/>
      <c r="AJ751" s="45"/>
      <c r="AK751" s="45"/>
      <c r="AL751" s="45"/>
      <c r="AM751" s="45"/>
    </row>
    <row r="752">
      <c r="AG752" s="45"/>
      <c r="AH752" s="45"/>
      <c r="AI752" s="45"/>
      <c r="AJ752" s="45"/>
      <c r="AK752" s="45"/>
      <c r="AL752" s="45"/>
      <c r="AM752" s="45"/>
    </row>
    <row r="753">
      <c r="AG753" s="45"/>
      <c r="AH753" s="45"/>
      <c r="AI753" s="45"/>
      <c r="AJ753" s="45"/>
      <c r="AK753" s="45"/>
      <c r="AL753" s="45"/>
      <c r="AM753" s="45"/>
    </row>
    <row r="754">
      <c r="AG754" s="45"/>
      <c r="AH754" s="45"/>
      <c r="AI754" s="45"/>
      <c r="AJ754" s="45"/>
      <c r="AK754" s="45"/>
      <c r="AL754" s="45"/>
      <c r="AM754" s="45"/>
    </row>
    <row r="755">
      <c r="AG755" s="45"/>
      <c r="AH755" s="45"/>
      <c r="AI755" s="45"/>
      <c r="AJ755" s="45"/>
      <c r="AK755" s="45"/>
      <c r="AL755" s="45"/>
      <c r="AM755" s="45"/>
    </row>
    <row r="756">
      <c r="AG756" s="45"/>
      <c r="AH756" s="45"/>
      <c r="AI756" s="45"/>
      <c r="AJ756" s="45"/>
      <c r="AK756" s="45"/>
      <c r="AL756" s="45"/>
      <c r="AM756" s="45"/>
    </row>
    <row r="757">
      <c r="AG757" s="45"/>
      <c r="AH757" s="45"/>
      <c r="AI757" s="45"/>
      <c r="AJ757" s="45"/>
      <c r="AK757" s="45"/>
      <c r="AL757" s="45"/>
      <c r="AM757" s="45"/>
    </row>
    <row r="758">
      <c r="AG758" s="45"/>
      <c r="AH758" s="45"/>
      <c r="AI758" s="45"/>
      <c r="AJ758" s="45"/>
      <c r="AK758" s="45"/>
      <c r="AL758" s="45"/>
      <c r="AM758" s="45"/>
    </row>
    <row r="759">
      <c r="AG759" s="45"/>
      <c r="AH759" s="45"/>
      <c r="AI759" s="45"/>
      <c r="AJ759" s="45"/>
      <c r="AK759" s="45"/>
      <c r="AL759" s="45"/>
      <c r="AM759" s="45"/>
    </row>
    <row r="760">
      <c r="AG760" s="45"/>
      <c r="AH760" s="45"/>
      <c r="AI760" s="45"/>
      <c r="AJ760" s="45"/>
      <c r="AK760" s="45"/>
      <c r="AL760" s="45"/>
      <c r="AM760" s="45"/>
    </row>
    <row r="761">
      <c r="AG761" s="45"/>
      <c r="AH761" s="45"/>
      <c r="AI761" s="45"/>
      <c r="AJ761" s="45"/>
      <c r="AK761" s="45"/>
      <c r="AL761" s="45"/>
      <c r="AM761" s="45"/>
    </row>
    <row r="762">
      <c r="AG762" s="45"/>
      <c r="AH762" s="45"/>
      <c r="AI762" s="45"/>
      <c r="AJ762" s="45"/>
      <c r="AK762" s="45"/>
      <c r="AL762" s="45"/>
      <c r="AM762" s="45"/>
    </row>
    <row r="763">
      <c r="AG763" s="45"/>
      <c r="AH763" s="45"/>
      <c r="AI763" s="45"/>
      <c r="AJ763" s="45"/>
      <c r="AK763" s="45"/>
      <c r="AL763" s="45"/>
      <c r="AM763" s="45"/>
    </row>
    <row r="764">
      <c r="AG764" s="45"/>
      <c r="AH764" s="45"/>
      <c r="AI764" s="45"/>
      <c r="AJ764" s="45"/>
      <c r="AK764" s="45"/>
      <c r="AL764" s="45"/>
      <c r="AM764" s="45"/>
    </row>
    <row r="765">
      <c r="AG765" s="45"/>
      <c r="AH765" s="45"/>
      <c r="AI765" s="45"/>
      <c r="AJ765" s="45"/>
      <c r="AK765" s="45"/>
      <c r="AL765" s="45"/>
      <c r="AM765" s="45"/>
    </row>
    <row r="766">
      <c r="AG766" s="45"/>
      <c r="AH766" s="45"/>
      <c r="AI766" s="45"/>
      <c r="AJ766" s="45"/>
      <c r="AK766" s="45"/>
      <c r="AL766" s="45"/>
      <c r="AM766" s="45"/>
    </row>
    <row r="767">
      <c r="AG767" s="45"/>
      <c r="AH767" s="45"/>
      <c r="AI767" s="45"/>
      <c r="AJ767" s="45"/>
      <c r="AK767" s="45"/>
      <c r="AL767" s="45"/>
      <c r="AM767" s="45"/>
    </row>
    <row r="768">
      <c r="AG768" s="45"/>
      <c r="AH768" s="45"/>
      <c r="AI768" s="45"/>
      <c r="AJ768" s="45"/>
      <c r="AK768" s="45"/>
      <c r="AL768" s="45"/>
      <c r="AM768" s="45"/>
    </row>
    <row r="769">
      <c r="AG769" s="45"/>
      <c r="AH769" s="45"/>
      <c r="AI769" s="45"/>
      <c r="AJ769" s="45"/>
      <c r="AK769" s="45"/>
      <c r="AL769" s="45"/>
      <c r="AM769" s="45"/>
    </row>
    <row r="770">
      <c r="AG770" s="45"/>
      <c r="AH770" s="45"/>
      <c r="AI770" s="45"/>
      <c r="AJ770" s="45"/>
      <c r="AK770" s="45"/>
      <c r="AL770" s="45"/>
      <c r="AM770" s="45"/>
    </row>
    <row r="771">
      <c r="AG771" s="45"/>
      <c r="AH771" s="45"/>
      <c r="AI771" s="45"/>
      <c r="AJ771" s="45"/>
      <c r="AK771" s="45"/>
      <c r="AL771" s="45"/>
      <c r="AM771" s="45"/>
    </row>
    <row r="772">
      <c r="AG772" s="45"/>
      <c r="AH772" s="45"/>
      <c r="AI772" s="45"/>
      <c r="AJ772" s="45"/>
      <c r="AK772" s="45"/>
      <c r="AL772" s="45"/>
      <c r="AM772" s="45"/>
    </row>
    <row r="773">
      <c r="AG773" s="45"/>
      <c r="AH773" s="45"/>
      <c r="AI773" s="45"/>
      <c r="AJ773" s="45"/>
      <c r="AK773" s="45"/>
      <c r="AL773" s="45"/>
      <c r="AM773" s="45"/>
    </row>
    <row r="774">
      <c r="AG774" s="45"/>
      <c r="AH774" s="45"/>
      <c r="AI774" s="45"/>
      <c r="AJ774" s="45"/>
      <c r="AK774" s="45"/>
      <c r="AL774" s="45"/>
      <c r="AM774" s="45"/>
    </row>
    <row r="775">
      <c r="AG775" s="45"/>
      <c r="AH775" s="45"/>
      <c r="AI775" s="45"/>
      <c r="AJ775" s="45"/>
      <c r="AK775" s="45"/>
      <c r="AL775" s="45"/>
      <c r="AM775" s="45"/>
    </row>
    <row r="776">
      <c r="AG776" s="45"/>
      <c r="AH776" s="45"/>
      <c r="AI776" s="45"/>
      <c r="AJ776" s="45"/>
      <c r="AK776" s="45"/>
      <c r="AL776" s="45"/>
      <c r="AM776" s="45"/>
    </row>
    <row r="777">
      <c r="AG777" s="45"/>
      <c r="AH777" s="45"/>
      <c r="AI777" s="45"/>
      <c r="AJ777" s="45"/>
      <c r="AK777" s="45"/>
      <c r="AL777" s="45"/>
      <c r="AM777" s="45"/>
    </row>
    <row r="778">
      <c r="AG778" s="45"/>
      <c r="AH778" s="45"/>
      <c r="AI778" s="45"/>
      <c r="AJ778" s="45"/>
      <c r="AK778" s="45"/>
      <c r="AL778" s="45"/>
      <c r="AM778" s="45"/>
    </row>
    <row r="779">
      <c r="AG779" s="45"/>
      <c r="AH779" s="45"/>
      <c r="AI779" s="45"/>
      <c r="AJ779" s="45"/>
      <c r="AK779" s="45"/>
      <c r="AL779" s="45"/>
      <c r="AM779" s="45"/>
    </row>
    <row r="780">
      <c r="AG780" s="45"/>
      <c r="AH780" s="45"/>
      <c r="AI780" s="45"/>
      <c r="AJ780" s="45"/>
      <c r="AK780" s="45"/>
      <c r="AL780" s="45"/>
      <c r="AM780" s="45"/>
    </row>
    <row r="781">
      <c r="AG781" s="45"/>
      <c r="AH781" s="45"/>
      <c r="AI781" s="45"/>
      <c r="AJ781" s="45"/>
      <c r="AK781" s="45"/>
      <c r="AL781" s="45"/>
      <c r="AM781" s="45"/>
    </row>
    <row r="782">
      <c r="AG782" s="45"/>
      <c r="AH782" s="45"/>
      <c r="AI782" s="45"/>
      <c r="AJ782" s="45"/>
      <c r="AK782" s="45"/>
      <c r="AL782" s="45"/>
      <c r="AM782" s="45"/>
    </row>
    <row r="783">
      <c r="AG783" s="45"/>
      <c r="AH783" s="45"/>
      <c r="AI783" s="45"/>
      <c r="AJ783" s="45"/>
      <c r="AK783" s="45"/>
      <c r="AL783" s="45"/>
      <c r="AM783" s="45"/>
    </row>
    <row r="784">
      <c r="AG784" s="45"/>
      <c r="AH784" s="45"/>
      <c r="AI784" s="45"/>
      <c r="AJ784" s="45"/>
      <c r="AK784" s="45"/>
      <c r="AL784" s="45"/>
      <c r="AM784" s="45"/>
    </row>
    <row r="785">
      <c r="AG785" s="45"/>
      <c r="AH785" s="45"/>
      <c r="AI785" s="45"/>
      <c r="AJ785" s="45"/>
      <c r="AK785" s="45"/>
      <c r="AL785" s="45"/>
      <c r="AM785" s="45"/>
    </row>
    <row r="786">
      <c r="AG786" s="45"/>
      <c r="AH786" s="45"/>
      <c r="AI786" s="45"/>
      <c r="AJ786" s="45"/>
      <c r="AK786" s="45"/>
      <c r="AL786" s="45"/>
      <c r="AM786" s="45"/>
    </row>
    <row r="787">
      <c r="AG787" s="45"/>
      <c r="AH787" s="45"/>
      <c r="AI787" s="45"/>
      <c r="AJ787" s="45"/>
      <c r="AK787" s="45"/>
      <c r="AL787" s="45"/>
      <c r="AM787" s="45"/>
    </row>
    <row r="788">
      <c r="AG788" s="45"/>
      <c r="AH788" s="45"/>
      <c r="AI788" s="45"/>
      <c r="AJ788" s="45"/>
      <c r="AK788" s="45"/>
      <c r="AL788" s="45"/>
      <c r="AM788" s="45"/>
    </row>
    <row r="789">
      <c r="AG789" s="45"/>
      <c r="AH789" s="45"/>
      <c r="AI789" s="45"/>
      <c r="AJ789" s="45"/>
      <c r="AK789" s="45"/>
      <c r="AL789" s="45"/>
      <c r="AM789" s="45"/>
    </row>
    <row r="790">
      <c r="AG790" s="45"/>
      <c r="AH790" s="45"/>
      <c r="AI790" s="45"/>
      <c r="AJ790" s="45"/>
      <c r="AK790" s="45"/>
      <c r="AL790" s="45"/>
      <c r="AM790" s="45"/>
    </row>
    <row r="791">
      <c r="AG791" s="45"/>
      <c r="AH791" s="45"/>
      <c r="AI791" s="45"/>
      <c r="AJ791" s="45"/>
      <c r="AK791" s="45"/>
      <c r="AL791" s="45"/>
      <c r="AM791" s="45"/>
    </row>
    <row r="792">
      <c r="AG792" s="45"/>
      <c r="AH792" s="45"/>
      <c r="AI792" s="45"/>
      <c r="AJ792" s="45"/>
      <c r="AK792" s="45"/>
      <c r="AL792" s="45"/>
      <c r="AM792" s="45"/>
    </row>
    <row r="793">
      <c r="AG793" s="45"/>
      <c r="AH793" s="45"/>
      <c r="AI793" s="45"/>
      <c r="AJ793" s="45"/>
      <c r="AK793" s="45"/>
      <c r="AL793" s="45"/>
      <c r="AM793" s="45"/>
    </row>
    <row r="794">
      <c r="AG794" s="45"/>
      <c r="AH794" s="45"/>
      <c r="AI794" s="45"/>
      <c r="AJ794" s="45"/>
      <c r="AK794" s="45"/>
      <c r="AL794" s="45"/>
      <c r="AM794" s="45"/>
    </row>
    <row r="795">
      <c r="AG795" s="45"/>
      <c r="AH795" s="45"/>
      <c r="AI795" s="45"/>
      <c r="AJ795" s="45"/>
      <c r="AK795" s="45"/>
      <c r="AL795" s="45"/>
      <c r="AM795" s="45"/>
    </row>
    <row r="796">
      <c r="AG796" s="45"/>
      <c r="AH796" s="45"/>
      <c r="AI796" s="45"/>
      <c r="AJ796" s="45"/>
      <c r="AK796" s="45"/>
      <c r="AL796" s="45"/>
      <c r="AM796" s="45"/>
    </row>
    <row r="797">
      <c r="AG797" s="45"/>
      <c r="AH797" s="45"/>
      <c r="AI797" s="45"/>
      <c r="AJ797" s="45"/>
      <c r="AK797" s="45"/>
      <c r="AL797" s="45"/>
      <c r="AM797" s="45"/>
    </row>
    <row r="798">
      <c r="AG798" s="45"/>
      <c r="AH798" s="45"/>
      <c r="AI798" s="45"/>
      <c r="AJ798" s="45"/>
      <c r="AK798" s="45"/>
      <c r="AL798" s="45"/>
      <c r="AM798" s="45"/>
    </row>
    <row r="799">
      <c r="AG799" s="45"/>
      <c r="AH799" s="45"/>
      <c r="AI799" s="45"/>
      <c r="AJ799" s="45"/>
      <c r="AK799" s="45"/>
      <c r="AL799" s="45"/>
      <c r="AM799" s="45"/>
    </row>
    <row r="800">
      <c r="AG800" s="45"/>
      <c r="AH800" s="45"/>
      <c r="AI800" s="45"/>
      <c r="AJ800" s="45"/>
      <c r="AK800" s="45"/>
      <c r="AL800" s="45"/>
      <c r="AM800" s="45"/>
    </row>
    <row r="801">
      <c r="AG801" s="45"/>
      <c r="AH801" s="45"/>
      <c r="AI801" s="45"/>
      <c r="AJ801" s="45"/>
      <c r="AK801" s="45"/>
      <c r="AL801" s="45"/>
      <c r="AM801" s="45"/>
    </row>
    <row r="802">
      <c r="AG802" s="45"/>
      <c r="AH802" s="45"/>
      <c r="AI802" s="45"/>
      <c r="AJ802" s="45"/>
      <c r="AK802" s="45"/>
      <c r="AL802" s="45"/>
      <c r="AM802" s="45"/>
    </row>
    <row r="803">
      <c r="AG803" s="45"/>
      <c r="AH803" s="45"/>
      <c r="AI803" s="45"/>
      <c r="AJ803" s="45"/>
      <c r="AK803" s="45"/>
      <c r="AL803" s="45"/>
      <c r="AM803" s="45"/>
    </row>
    <row r="804">
      <c r="AG804" s="45"/>
      <c r="AH804" s="45"/>
      <c r="AI804" s="45"/>
      <c r="AJ804" s="45"/>
      <c r="AK804" s="45"/>
      <c r="AL804" s="45"/>
      <c r="AM804" s="45"/>
    </row>
    <row r="805">
      <c r="AG805" s="45"/>
      <c r="AH805" s="45"/>
      <c r="AI805" s="45"/>
      <c r="AJ805" s="45"/>
      <c r="AK805" s="45"/>
      <c r="AL805" s="45"/>
      <c r="AM805" s="45"/>
    </row>
    <row r="806">
      <c r="AG806" s="45"/>
      <c r="AH806" s="45"/>
      <c r="AI806" s="45"/>
      <c r="AJ806" s="45"/>
      <c r="AK806" s="45"/>
      <c r="AL806" s="45"/>
      <c r="AM806" s="45"/>
    </row>
    <row r="807">
      <c r="AG807" s="45"/>
      <c r="AH807" s="45"/>
      <c r="AI807" s="45"/>
      <c r="AJ807" s="45"/>
      <c r="AK807" s="45"/>
      <c r="AL807" s="45"/>
      <c r="AM807" s="45"/>
    </row>
    <row r="808">
      <c r="AG808" s="45"/>
      <c r="AH808" s="45"/>
      <c r="AI808" s="45"/>
      <c r="AJ808" s="45"/>
      <c r="AK808" s="45"/>
      <c r="AL808" s="45"/>
      <c r="AM808" s="45"/>
    </row>
    <row r="809">
      <c r="AG809" s="45"/>
      <c r="AH809" s="45"/>
      <c r="AI809" s="45"/>
      <c r="AJ809" s="45"/>
      <c r="AK809" s="45"/>
      <c r="AL809" s="45"/>
      <c r="AM809" s="45"/>
    </row>
    <row r="810">
      <c r="AG810" s="45"/>
      <c r="AH810" s="45"/>
      <c r="AI810" s="45"/>
      <c r="AJ810" s="45"/>
      <c r="AK810" s="45"/>
      <c r="AL810" s="45"/>
      <c r="AM810" s="45"/>
    </row>
    <row r="811">
      <c r="AG811" s="45"/>
      <c r="AH811" s="45"/>
      <c r="AI811" s="45"/>
      <c r="AJ811" s="45"/>
      <c r="AK811" s="45"/>
      <c r="AL811" s="45"/>
      <c r="AM811" s="45"/>
    </row>
    <row r="812">
      <c r="AG812" s="45"/>
      <c r="AH812" s="45"/>
      <c r="AI812" s="45"/>
      <c r="AJ812" s="45"/>
      <c r="AK812" s="45"/>
      <c r="AL812" s="45"/>
      <c r="AM812" s="45"/>
    </row>
    <row r="813">
      <c r="AG813" s="45"/>
      <c r="AH813" s="45"/>
      <c r="AI813" s="45"/>
      <c r="AJ813" s="45"/>
      <c r="AK813" s="45"/>
      <c r="AL813" s="45"/>
      <c r="AM813" s="45"/>
    </row>
    <row r="814">
      <c r="AG814" s="45"/>
      <c r="AH814" s="45"/>
      <c r="AI814" s="45"/>
      <c r="AJ814" s="45"/>
      <c r="AK814" s="45"/>
      <c r="AL814" s="45"/>
      <c r="AM814" s="45"/>
    </row>
    <row r="815">
      <c r="AG815" s="45"/>
      <c r="AH815" s="45"/>
      <c r="AI815" s="45"/>
      <c r="AJ815" s="45"/>
      <c r="AK815" s="45"/>
      <c r="AL815" s="45"/>
      <c r="AM815" s="45"/>
    </row>
    <row r="816">
      <c r="AG816" s="45"/>
      <c r="AH816" s="45"/>
      <c r="AI816" s="45"/>
      <c r="AJ816" s="45"/>
      <c r="AK816" s="45"/>
      <c r="AL816" s="45"/>
      <c r="AM816" s="45"/>
    </row>
    <row r="817">
      <c r="AG817" s="45"/>
      <c r="AH817" s="45"/>
      <c r="AI817" s="45"/>
      <c r="AJ817" s="45"/>
      <c r="AK817" s="45"/>
      <c r="AL817" s="45"/>
      <c r="AM817" s="45"/>
    </row>
    <row r="818">
      <c r="AG818" s="45"/>
      <c r="AH818" s="45"/>
      <c r="AI818" s="45"/>
      <c r="AJ818" s="45"/>
      <c r="AK818" s="45"/>
      <c r="AL818" s="45"/>
      <c r="AM818" s="45"/>
    </row>
    <row r="819">
      <c r="AG819" s="45"/>
      <c r="AH819" s="45"/>
      <c r="AI819" s="45"/>
      <c r="AJ819" s="45"/>
      <c r="AK819" s="45"/>
      <c r="AL819" s="45"/>
      <c r="AM819" s="45"/>
    </row>
    <row r="820">
      <c r="AG820" s="45"/>
      <c r="AH820" s="45"/>
      <c r="AI820" s="45"/>
      <c r="AJ820" s="45"/>
      <c r="AK820" s="45"/>
      <c r="AL820" s="45"/>
      <c r="AM820" s="45"/>
    </row>
    <row r="821">
      <c r="AG821" s="45"/>
      <c r="AH821" s="45"/>
      <c r="AI821" s="45"/>
      <c r="AJ821" s="45"/>
      <c r="AK821" s="45"/>
      <c r="AL821" s="45"/>
      <c r="AM821" s="45"/>
    </row>
    <row r="822">
      <c r="AG822" s="45"/>
      <c r="AH822" s="45"/>
      <c r="AI822" s="45"/>
      <c r="AJ822" s="45"/>
      <c r="AK822" s="45"/>
      <c r="AL822" s="45"/>
      <c r="AM822" s="45"/>
    </row>
    <row r="823">
      <c r="AG823" s="45"/>
      <c r="AH823" s="45"/>
      <c r="AI823" s="45"/>
      <c r="AJ823" s="45"/>
      <c r="AK823" s="45"/>
      <c r="AL823" s="45"/>
      <c r="AM823" s="45"/>
    </row>
    <row r="824">
      <c r="AG824" s="45"/>
      <c r="AH824" s="45"/>
      <c r="AI824" s="45"/>
      <c r="AJ824" s="45"/>
      <c r="AK824" s="45"/>
      <c r="AL824" s="45"/>
      <c r="AM824" s="45"/>
    </row>
    <row r="825">
      <c r="AG825" s="45"/>
      <c r="AH825" s="45"/>
      <c r="AI825" s="45"/>
      <c r="AJ825" s="45"/>
      <c r="AK825" s="45"/>
      <c r="AL825" s="45"/>
      <c r="AM825" s="45"/>
    </row>
    <row r="826">
      <c r="AG826" s="45"/>
      <c r="AH826" s="45"/>
      <c r="AI826" s="45"/>
      <c r="AJ826" s="45"/>
      <c r="AK826" s="45"/>
      <c r="AL826" s="45"/>
      <c r="AM826" s="45"/>
    </row>
    <row r="827">
      <c r="AG827" s="45"/>
      <c r="AH827" s="45"/>
      <c r="AI827" s="45"/>
      <c r="AJ827" s="45"/>
      <c r="AK827" s="45"/>
      <c r="AL827" s="45"/>
      <c r="AM827" s="45"/>
    </row>
    <row r="828">
      <c r="AG828" s="45"/>
      <c r="AH828" s="45"/>
      <c r="AI828" s="45"/>
      <c r="AJ828" s="45"/>
      <c r="AK828" s="45"/>
      <c r="AL828" s="45"/>
      <c r="AM828" s="45"/>
    </row>
    <row r="829">
      <c r="AG829" s="45"/>
      <c r="AH829" s="45"/>
      <c r="AI829" s="45"/>
      <c r="AJ829" s="45"/>
      <c r="AK829" s="45"/>
      <c r="AL829" s="45"/>
      <c r="AM829" s="45"/>
    </row>
    <row r="830">
      <c r="AG830" s="45"/>
      <c r="AH830" s="45"/>
      <c r="AI830" s="45"/>
      <c r="AJ830" s="45"/>
      <c r="AK830" s="45"/>
      <c r="AL830" s="45"/>
      <c r="AM830" s="45"/>
    </row>
    <row r="831">
      <c r="AG831" s="45"/>
      <c r="AH831" s="45"/>
      <c r="AI831" s="45"/>
      <c r="AJ831" s="45"/>
      <c r="AK831" s="45"/>
      <c r="AL831" s="45"/>
      <c r="AM831" s="45"/>
    </row>
    <row r="832">
      <c r="AG832" s="45"/>
      <c r="AH832" s="45"/>
      <c r="AI832" s="45"/>
      <c r="AJ832" s="45"/>
      <c r="AK832" s="45"/>
      <c r="AL832" s="45"/>
      <c r="AM832" s="45"/>
    </row>
    <row r="833">
      <c r="AG833" s="45"/>
      <c r="AH833" s="45"/>
      <c r="AI833" s="45"/>
      <c r="AJ833" s="45"/>
      <c r="AK833" s="45"/>
      <c r="AL833" s="45"/>
      <c r="AM833" s="45"/>
    </row>
    <row r="834">
      <c r="AG834" s="45"/>
      <c r="AH834" s="45"/>
      <c r="AI834" s="45"/>
      <c r="AJ834" s="45"/>
      <c r="AK834" s="45"/>
      <c r="AL834" s="45"/>
      <c r="AM834" s="45"/>
    </row>
    <row r="835">
      <c r="AG835" s="45"/>
      <c r="AH835" s="45"/>
      <c r="AI835" s="45"/>
      <c r="AJ835" s="45"/>
      <c r="AK835" s="45"/>
      <c r="AL835" s="45"/>
      <c r="AM835" s="45"/>
    </row>
    <row r="836">
      <c r="AG836" s="45"/>
      <c r="AH836" s="45"/>
      <c r="AI836" s="45"/>
      <c r="AJ836" s="45"/>
      <c r="AK836" s="45"/>
      <c r="AL836" s="45"/>
      <c r="AM836" s="45"/>
    </row>
    <row r="837">
      <c r="AG837" s="45"/>
      <c r="AH837" s="45"/>
      <c r="AI837" s="45"/>
      <c r="AJ837" s="45"/>
      <c r="AK837" s="45"/>
      <c r="AL837" s="45"/>
      <c r="AM837" s="45"/>
    </row>
    <row r="838">
      <c r="AG838" s="45"/>
      <c r="AH838" s="45"/>
      <c r="AI838" s="45"/>
      <c r="AJ838" s="45"/>
      <c r="AK838" s="45"/>
      <c r="AL838" s="45"/>
      <c r="AM838" s="45"/>
    </row>
    <row r="839">
      <c r="AG839" s="45"/>
      <c r="AH839" s="45"/>
      <c r="AI839" s="45"/>
      <c r="AJ839" s="45"/>
      <c r="AK839" s="45"/>
      <c r="AL839" s="45"/>
      <c r="AM839" s="45"/>
    </row>
    <row r="840">
      <c r="AG840" s="45"/>
      <c r="AH840" s="45"/>
      <c r="AI840" s="45"/>
      <c r="AJ840" s="45"/>
      <c r="AK840" s="45"/>
      <c r="AL840" s="45"/>
      <c r="AM840" s="45"/>
    </row>
    <row r="841">
      <c r="AG841" s="45"/>
      <c r="AH841" s="45"/>
      <c r="AI841" s="45"/>
      <c r="AJ841" s="45"/>
      <c r="AK841" s="45"/>
      <c r="AL841" s="45"/>
      <c r="AM841" s="45"/>
    </row>
    <row r="842">
      <c r="AG842" s="45"/>
      <c r="AH842" s="45"/>
      <c r="AI842" s="45"/>
      <c r="AJ842" s="45"/>
      <c r="AK842" s="45"/>
      <c r="AL842" s="45"/>
      <c r="AM842" s="45"/>
    </row>
    <row r="843">
      <c r="AG843" s="45"/>
      <c r="AH843" s="45"/>
      <c r="AI843" s="45"/>
      <c r="AJ843" s="45"/>
      <c r="AK843" s="45"/>
      <c r="AL843" s="45"/>
      <c r="AM843" s="45"/>
    </row>
    <row r="844">
      <c r="AG844" s="45"/>
      <c r="AH844" s="45"/>
      <c r="AI844" s="45"/>
      <c r="AJ844" s="45"/>
      <c r="AK844" s="45"/>
      <c r="AL844" s="45"/>
      <c r="AM844" s="45"/>
    </row>
    <row r="845">
      <c r="AG845" s="45"/>
      <c r="AH845" s="45"/>
      <c r="AI845" s="45"/>
      <c r="AJ845" s="45"/>
      <c r="AK845" s="45"/>
      <c r="AL845" s="45"/>
      <c r="AM845" s="45"/>
    </row>
    <row r="846">
      <c r="AG846" s="45"/>
      <c r="AH846" s="45"/>
      <c r="AI846" s="45"/>
      <c r="AJ846" s="45"/>
      <c r="AK846" s="45"/>
      <c r="AL846" s="45"/>
      <c r="AM846" s="45"/>
    </row>
    <row r="847">
      <c r="AG847" s="45"/>
      <c r="AH847" s="45"/>
      <c r="AI847" s="45"/>
      <c r="AJ847" s="45"/>
      <c r="AK847" s="45"/>
      <c r="AL847" s="45"/>
      <c r="AM847" s="45"/>
    </row>
    <row r="848">
      <c r="AG848" s="45"/>
      <c r="AH848" s="45"/>
      <c r="AI848" s="45"/>
      <c r="AJ848" s="45"/>
      <c r="AK848" s="45"/>
      <c r="AL848" s="45"/>
      <c r="AM848" s="45"/>
    </row>
    <row r="849">
      <c r="AG849" s="45"/>
      <c r="AH849" s="45"/>
      <c r="AI849" s="45"/>
      <c r="AJ849" s="45"/>
      <c r="AK849" s="45"/>
      <c r="AL849" s="45"/>
      <c r="AM849" s="45"/>
    </row>
    <row r="850">
      <c r="AG850" s="45"/>
      <c r="AH850" s="45"/>
      <c r="AI850" s="45"/>
      <c r="AJ850" s="45"/>
      <c r="AK850" s="45"/>
      <c r="AL850" s="45"/>
      <c r="AM850" s="45"/>
    </row>
    <row r="851">
      <c r="AG851" s="45"/>
      <c r="AH851" s="45"/>
      <c r="AI851" s="45"/>
      <c r="AJ851" s="45"/>
      <c r="AK851" s="45"/>
      <c r="AL851" s="45"/>
      <c r="AM851" s="45"/>
    </row>
    <row r="852">
      <c r="AG852" s="45"/>
      <c r="AH852" s="45"/>
      <c r="AI852" s="45"/>
      <c r="AJ852" s="45"/>
      <c r="AK852" s="45"/>
      <c r="AL852" s="45"/>
      <c r="AM852" s="45"/>
    </row>
    <row r="853">
      <c r="AG853" s="45"/>
      <c r="AH853" s="45"/>
      <c r="AI853" s="45"/>
      <c r="AJ853" s="45"/>
      <c r="AK853" s="45"/>
      <c r="AL853" s="45"/>
      <c r="AM853" s="45"/>
    </row>
    <row r="854">
      <c r="AG854" s="45"/>
      <c r="AH854" s="45"/>
      <c r="AI854" s="45"/>
      <c r="AJ854" s="45"/>
      <c r="AK854" s="45"/>
      <c r="AL854" s="45"/>
      <c r="AM854" s="45"/>
    </row>
    <row r="855">
      <c r="AG855" s="45"/>
      <c r="AH855" s="45"/>
      <c r="AI855" s="45"/>
      <c r="AJ855" s="45"/>
      <c r="AK855" s="45"/>
      <c r="AL855" s="45"/>
      <c r="AM855" s="45"/>
    </row>
    <row r="856">
      <c r="AG856" s="45"/>
      <c r="AH856" s="45"/>
      <c r="AI856" s="45"/>
      <c r="AJ856" s="45"/>
      <c r="AK856" s="45"/>
      <c r="AL856" s="45"/>
      <c r="AM856" s="45"/>
    </row>
    <row r="857">
      <c r="AG857" s="45"/>
      <c r="AH857" s="45"/>
      <c r="AI857" s="45"/>
      <c r="AJ857" s="45"/>
      <c r="AK857" s="45"/>
      <c r="AL857" s="45"/>
      <c r="AM857" s="45"/>
    </row>
    <row r="858">
      <c r="AG858" s="45"/>
      <c r="AH858" s="45"/>
      <c r="AI858" s="45"/>
      <c r="AJ858" s="45"/>
      <c r="AK858" s="45"/>
      <c r="AL858" s="45"/>
      <c r="AM858" s="45"/>
    </row>
    <row r="859">
      <c r="AG859" s="45"/>
      <c r="AH859" s="45"/>
      <c r="AI859" s="45"/>
      <c r="AJ859" s="45"/>
      <c r="AK859" s="45"/>
      <c r="AL859" s="45"/>
      <c r="AM859" s="45"/>
    </row>
    <row r="860">
      <c r="AG860" s="45"/>
      <c r="AH860" s="45"/>
      <c r="AI860" s="45"/>
      <c r="AJ860" s="45"/>
      <c r="AK860" s="45"/>
      <c r="AL860" s="45"/>
      <c r="AM860" s="45"/>
    </row>
    <row r="861">
      <c r="AG861" s="45"/>
      <c r="AH861" s="45"/>
      <c r="AI861" s="45"/>
      <c r="AJ861" s="45"/>
      <c r="AK861" s="45"/>
      <c r="AL861" s="45"/>
      <c r="AM861" s="45"/>
    </row>
    <row r="862">
      <c r="AG862" s="45"/>
      <c r="AH862" s="45"/>
      <c r="AI862" s="45"/>
      <c r="AJ862" s="45"/>
      <c r="AK862" s="45"/>
      <c r="AL862" s="45"/>
      <c r="AM862" s="45"/>
    </row>
    <row r="863">
      <c r="AG863" s="45"/>
      <c r="AH863" s="45"/>
      <c r="AI863" s="45"/>
      <c r="AJ863" s="45"/>
      <c r="AK863" s="45"/>
      <c r="AL863" s="45"/>
      <c r="AM863" s="45"/>
    </row>
    <row r="864">
      <c r="AG864" s="45"/>
      <c r="AH864" s="45"/>
      <c r="AI864" s="45"/>
      <c r="AJ864" s="45"/>
      <c r="AK864" s="45"/>
      <c r="AL864" s="45"/>
      <c r="AM864" s="45"/>
    </row>
    <row r="865">
      <c r="AG865" s="45"/>
      <c r="AH865" s="45"/>
      <c r="AI865" s="45"/>
      <c r="AJ865" s="45"/>
      <c r="AK865" s="45"/>
      <c r="AL865" s="45"/>
      <c r="AM865" s="45"/>
    </row>
    <row r="866">
      <c r="AG866" s="45"/>
      <c r="AH866" s="45"/>
      <c r="AI866" s="45"/>
      <c r="AJ866" s="45"/>
      <c r="AK866" s="45"/>
      <c r="AL866" s="45"/>
      <c r="AM866" s="45"/>
    </row>
    <row r="867">
      <c r="AG867" s="45"/>
      <c r="AH867" s="45"/>
      <c r="AI867" s="45"/>
      <c r="AJ867" s="45"/>
      <c r="AK867" s="45"/>
      <c r="AL867" s="45"/>
      <c r="AM867" s="45"/>
    </row>
    <row r="868">
      <c r="AG868" s="45"/>
      <c r="AH868" s="45"/>
      <c r="AI868" s="45"/>
      <c r="AJ868" s="45"/>
      <c r="AK868" s="45"/>
      <c r="AL868" s="45"/>
      <c r="AM868" s="45"/>
    </row>
    <row r="869">
      <c r="AG869" s="45"/>
      <c r="AH869" s="45"/>
      <c r="AI869" s="45"/>
      <c r="AJ869" s="45"/>
      <c r="AK869" s="45"/>
      <c r="AL869" s="45"/>
      <c r="AM869" s="45"/>
    </row>
    <row r="870">
      <c r="AG870" s="45"/>
      <c r="AH870" s="45"/>
      <c r="AI870" s="45"/>
      <c r="AJ870" s="45"/>
      <c r="AK870" s="45"/>
      <c r="AL870" s="45"/>
      <c r="AM870" s="45"/>
    </row>
    <row r="871">
      <c r="AG871" s="45"/>
      <c r="AH871" s="45"/>
      <c r="AI871" s="45"/>
      <c r="AJ871" s="45"/>
      <c r="AK871" s="45"/>
      <c r="AL871" s="45"/>
      <c r="AM871" s="45"/>
    </row>
    <row r="872">
      <c r="AG872" s="45"/>
      <c r="AH872" s="45"/>
      <c r="AI872" s="45"/>
      <c r="AJ872" s="45"/>
      <c r="AK872" s="45"/>
      <c r="AL872" s="45"/>
      <c r="AM872" s="45"/>
    </row>
    <row r="873">
      <c r="AG873" s="45"/>
      <c r="AH873" s="45"/>
      <c r="AI873" s="45"/>
      <c r="AJ873" s="45"/>
      <c r="AK873" s="45"/>
      <c r="AL873" s="45"/>
      <c r="AM873" s="45"/>
    </row>
    <row r="874">
      <c r="AG874" s="45"/>
      <c r="AH874" s="45"/>
      <c r="AI874" s="45"/>
      <c r="AJ874" s="45"/>
      <c r="AK874" s="45"/>
      <c r="AL874" s="45"/>
      <c r="AM874" s="45"/>
    </row>
    <row r="875">
      <c r="AG875" s="45"/>
      <c r="AH875" s="45"/>
      <c r="AI875" s="45"/>
      <c r="AJ875" s="45"/>
      <c r="AK875" s="45"/>
      <c r="AL875" s="45"/>
      <c r="AM875" s="45"/>
    </row>
    <row r="876">
      <c r="AG876" s="45"/>
      <c r="AH876" s="45"/>
      <c r="AI876" s="45"/>
      <c r="AJ876" s="45"/>
      <c r="AK876" s="45"/>
      <c r="AL876" s="45"/>
      <c r="AM876" s="45"/>
    </row>
    <row r="877">
      <c r="AG877" s="45"/>
      <c r="AH877" s="45"/>
      <c r="AI877" s="45"/>
      <c r="AJ877" s="45"/>
      <c r="AK877" s="45"/>
      <c r="AL877" s="45"/>
      <c r="AM877" s="45"/>
    </row>
    <row r="878">
      <c r="AG878" s="45"/>
      <c r="AH878" s="45"/>
      <c r="AI878" s="45"/>
      <c r="AJ878" s="45"/>
      <c r="AK878" s="45"/>
      <c r="AL878" s="45"/>
      <c r="AM878" s="45"/>
    </row>
    <row r="879">
      <c r="AG879" s="45"/>
      <c r="AH879" s="45"/>
      <c r="AI879" s="45"/>
      <c r="AJ879" s="45"/>
      <c r="AK879" s="45"/>
      <c r="AL879" s="45"/>
      <c r="AM879" s="45"/>
    </row>
    <row r="880">
      <c r="AG880" s="45"/>
      <c r="AH880" s="45"/>
      <c r="AI880" s="45"/>
      <c r="AJ880" s="45"/>
      <c r="AK880" s="45"/>
      <c r="AL880" s="45"/>
      <c r="AM880" s="45"/>
    </row>
    <row r="881">
      <c r="AG881" s="45"/>
      <c r="AH881" s="45"/>
      <c r="AI881" s="45"/>
      <c r="AJ881" s="45"/>
      <c r="AK881" s="45"/>
      <c r="AL881" s="45"/>
      <c r="AM881" s="45"/>
    </row>
    <row r="882">
      <c r="AG882" s="45"/>
      <c r="AH882" s="45"/>
      <c r="AI882" s="45"/>
      <c r="AJ882" s="45"/>
      <c r="AK882" s="45"/>
      <c r="AL882" s="45"/>
      <c r="AM882" s="45"/>
    </row>
    <row r="883">
      <c r="AG883" s="45"/>
      <c r="AH883" s="45"/>
      <c r="AI883" s="45"/>
      <c r="AJ883" s="45"/>
      <c r="AK883" s="45"/>
      <c r="AL883" s="45"/>
      <c r="AM883" s="45"/>
    </row>
    <row r="884">
      <c r="AG884" s="45"/>
      <c r="AH884" s="45"/>
      <c r="AI884" s="45"/>
      <c r="AJ884" s="45"/>
      <c r="AK884" s="45"/>
      <c r="AL884" s="45"/>
      <c r="AM884" s="45"/>
    </row>
    <row r="885">
      <c r="AG885" s="45"/>
      <c r="AH885" s="45"/>
      <c r="AI885" s="45"/>
      <c r="AJ885" s="45"/>
      <c r="AK885" s="45"/>
      <c r="AL885" s="45"/>
      <c r="AM885" s="45"/>
    </row>
    <row r="886">
      <c r="AG886" s="45"/>
      <c r="AH886" s="45"/>
      <c r="AI886" s="45"/>
      <c r="AJ886" s="45"/>
      <c r="AK886" s="45"/>
      <c r="AL886" s="45"/>
      <c r="AM886" s="45"/>
    </row>
    <row r="887">
      <c r="AG887" s="45"/>
      <c r="AH887" s="45"/>
      <c r="AI887" s="45"/>
      <c r="AJ887" s="45"/>
      <c r="AK887" s="45"/>
      <c r="AL887" s="45"/>
      <c r="AM887" s="45"/>
    </row>
    <row r="888">
      <c r="AG888" s="45"/>
      <c r="AH888" s="45"/>
      <c r="AI888" s="45"/>
      <c r="AJ888" s="45"/>
      <c r="AK888" s="45"/>
      <c r="AL888" s="45"/>
      <c r="AM888" s="45"/>
    </row>
    <row r="889">
      <c r="AG889" s="45"/>
      <c r="AH889" s="45"/>
      <c r="AI889" s="45"/>
      <c r="AJ889" s="45"/>
      <c r="AK889" s="45"/>
      <c r="AL889" s="45"/>
      <c r="AM889" s="45"/>
    </row>
    <row r="890">
      <c r="AG890" s="45"/>
      <c r="AH890" s="45"/>
      <c r="AI890" s="45"/>
      <c r="AJ890" s="45"/>
      <c r="AK890" s="45"/>
      <c r="AL890" s="45"/>
      <c r="AM890" s="45"/>
    </row>
    <row r="891">
      <c r="AG891" s="45"/>
      <c r="AH891" s="45"/>
      <c r="AI891" s="45"/>
      <c r="AJ891" s="45"/>
      <c r="AK891" s="45"/>
      <c r="AL891" s="45"/>
      <c r="AM891" s="45"/>
    </row>
    <row r="892">
      <c r="AG892" s="45"/>
      <c r="AH892" s="45"/>
      <c r="AI892" s="45"/>
      <c r="AJ892" s="45"/>
      <c r="AK892" s="45"/>
      <c r="AL892" s="45"/>
      <c r="AM892" s="45"/>
    </row>
    <row r="893">
      <c r="AG893" s="45"/>
      <c r="AH893" s="45"/>
      <c r="AI893" s="45"/>
      <c r="AJ893" s="45"/>
      <c r="AK893" s="45"/>
      <c r="AL893" s="45"/>
      <c r="AM893" s="45"/>
    </row>
    <row r="894">
      <c r="AG894" s="45"/>
      <c r="AH894" s="45"/>
      <c r="AI894" s="45"/>
      <c r="AJ894" s="45"/>
      <c r="AK894" s="45"/>
      <c r="AL894" s="45"/>
      <c r="AM894" s="45"/>
    </row>
    <row r="895">
      <c r="AG895" s="45"/>
      <c r="AH895" s="45"/>
      <c r="AI895" s="45"/>
      <c r="AJ895" s="45"/>
      <c r="AK895" s="45"/>
      <c r="AL895" s="45"/>
      <c r="AM895" s="45"/>
    </row>
    <row r="896">
      <c r="AG896" s="45"/>
      <c r="AH896" s="45"/>
      <c r="AI896" s="45"/>
      <c r="AJ896" s="45"/>
      <c r="AK896" s="45"/>
      <c r="AL896" s="45"/>
      <c r="AM896" s="45"/>
    </row>
    <row r="897">
      <c r="AG897" s="45"/>
      <c r="AH897" s="45"/>
      <c r="AI897" s="45"/>
      <c r="AJ897" s="45"/>
      <c r="AK897" s="45"/>
      <c r="AL897" s="45"/>
      <c r="AM897" s="45"/>
    </row>
    <row r="898">
      <c r="AG898" s="45"/>
      <c r="AH898" s="45"/>
      <c r="AI898" s="45"/>
      <c r="AJ898" s="45"/>
      <c r="AK898" s="45"/>
      <c r="AL898" s="45"/>
      <c r="AM898" s="45"/>
    </row>
    <row r="899">
      <c r="AG899" s="45"/>
      <c r="AH899" s="45"/>
      <c r="AI899" s="45"/>
      <c r="AJ899" s="45"/>
      <c r="AK899" s="45"/>
      <c r="AL899" s="45"/>
      <c r="AM899" s="45"/>
    </row>
    <row r="900">
      <c r="AG900" s="45"/>
      <c r="AH900" s="45"/>
      <c r="AI900" s="45"/>
      <c r="AJ900" s="45"/>
      <c r="AK900" s="45"/>
      <c r="AL900" s="45"/>
      <c r="AM900" s="45"/>
    </row>
    <row r="901">
      <c r="AG901" s="45"/>
      <c r="AH901" s="45"/>
      <c r="AI901" s="45"/>
      <c r="AJ901" s="45"/>
      <c r="AK901" s="45"/>
      <c r="AL901" s="45"/>
      <c r="AM901" s="45"/>
    </row>
    <row r="902">
      <c r="AG902" s="45"/>
      <c r="AH902" s="45"/>
      <c r="AI902" s="45"/>
      <c r="AJ902" s="45"/>
      <c r="AK902" s="45"/>
      <c r="AL902" s="45"/>
      <c r="AM902" s="45"/>
    </row>
    <row r="903">
      <c r="AG903" s="45"/>
      <c r="AH903" s="45"/>
      <c r="AI903" s="45"/>
      <c r="AJ903" s="45"/>
      <c r="AK903" s="45"/>
      <c r="AL903" s="45"/>
      <c r="AM903" s="45"/>
    </row>
    <row r="904">
      <c r="AG904" s="45"/>
      <c r="AH904" s="45"/>
      <c r="AI904" s="45"/>
      <c r="AJ904" s="45"/>
      <c r="AK904" s="45"/>
      <c r="AL904" s="45"/>
      <c r="AM904" s="45"/>
    </row>
    <row r="905">
      <c r="AG905" s="45"/>
      <c r="AH905" s="45"/>
      <c r="AI905" s="45"/>
      <c r="AJ905" s="45"/>
      <c r="AK905" s="45"/>
      <c r="AL905" s="45"/>
      <c r="AM905" s="45"/>
    </row>
    <row r="906">
      <c r="AG906" s="45"/>
      <c r="AH906" s="45"/>
      <c r="AI906" s="45"/>
      <c r="AJ906" s="45"/>
      <c r="AK906" s="45"/>
      <c r="AL906" s="45"/>
      <c r="AM906" s="45"/>
    </row>
    <row r="907">
      <c r="AG907" s="45"/>
      <c r="AH907" s="45"/>
      <c r="AI907" s="45"/>
      <c r="AJ907" s="45"/>
      <c r="AK907" s="45"/>
      <c r="AL907" s="45"/>
      <c r="AM907" s="45"/>
    </row>
    <row r="908">
      <c r="AG908" s="45"/>
      <c r="AH908" s="45"/>
      <c r="AI908" s="45"/>
      <c r="AJ908" s="45"/>
      <c r="AK908" s="45"/>
      <c r="AL908" s="45"/>
      <c r="AM908" s="45"/>
    </row>
    <row r="909">
      <c r="AG909" s="45"/>
      <c r="AH909" s="45"/>
      <c r="AI909" s="45"/>
      <c r="AJ909" s="45"/>
      <c r="AK909" s="45"/>
      <c r="AL909" s="45"/>
      <c r="AM909" s="45"/>
    </row>
    <row r="910">
      <c r="AG910" s="45"/>
      <c r="AH910" s="45"/>
      <c r="AI910" s="45"/>
      <c r="AJ910" s="45"/>
      <c r="AK910" s="45"/>
      <c r="AL910" s="45"/>
      <c r="AM910" s="45"/>
    </row>
    <row r="911">
      <c r="AG911" s="45"/>
      <c r="AH911" s="45"/>
      <c r="AI911" s="45"/>
      <c r="AJ911" s="45"/>
      <c r="AK911" s="45"/>
      <c r="AL911" s="45"/>
      <c r="AM911" s="45"/>
    </row>
    <row r="912">
      <c r="AG912" s="45"/>
      <c r="AH912" s="45"/>
      <c r="AI912" s="45"/>
      <c r="AJ912" s="45"/>
      <c r="AK912" s="45"/>
      <c r="AL912" s="45"/>
      <c r="AM912" s="45"/>
    </row>
    <row r="913">
      <c r="AG913" s="45"/>
      <c r="AH913" s="45"/>
      <c r="AI913" s="45"/>
      <c r="AJ913" s="45"/>
      <c r="AK913" s="45"/>
      <c r="AL913" s="45"/>
      <c r="AM913" s="45"/>
    </row>
    <row r="914">
      <c r="AG914" s="45"/>
      <c r="AH914" s="45"/>
      <c r="AI914" s="45"/>
      <c r="AJ914" s="45"/>
      <c r="AK914" s="45"/>
      <c r="AL914" s="45"/>
      <c r="AM914" s="45"/>
    </row>
    <row r="915">
      <c r="AG915" s="45"/>
      <c r="AH915" s="45"/>
      <c r="AI915" s="45"/>
      <c r="AJ915" s="45"/>
      <c r="AK915" s="45"/>
      <c r="AL915" s="45"/>
      <c r="AM915" s="45"/>
    </row>
    <row r="916">
      <c r="AG916" s="45"/>
      <c r="AH916" s="45"/>
      <c r="AI916" s="45"/>
      <c r="AJ916" s="45"/>
      <c r="AK916" s="45"/>
      <c r="AL916" s="45"/>
      <c r="AM916" s="45"/>
    </row>
    <row r="917">
      <c r="AG917" s="45"/>
      <c r="AH917" s="45"/>
      <c r="AI917" s="45"/>
      <c r="AJ917" s="45"/>
      <c r="AK917" s="45"/>
      <c r="AL917" s="45"/>
      <c r="AM917" s="45"/>
    </row>
    <row r="918">
      <c r="AG918" s="45"/>
      <c r="AH918" s="45"/>
      <c r="AI918" s="45"/>
      <c r="AJ918" s="45"/>
      <c r="AK918" s="45"/>
      <c r="AL918" s="45"/>
      <c r="AM918" s="45"/>
    </row>
    <row r="919">
      <c r="AG919" s="45"/>
      <c r="AH919" s="45"/>
      <c r="AI919" s="45"/>
      <c r="AJ919" s="45"/>
      <c r="AK919" s="45"/>
      <c r="AL919" s="45"/>
      <c r="AM919" s="45"/>
    </row>
    <row r="920">
      <c r="AG920" s="45"/>
      <c r="AH920" s="45"/>
      <c r="AI920" s="45"/>
      <c r="AJ920" s="45"/>
      <c r="AK920" s="45"/>
      <c r="AL920" s="45"/>
      <c r="AM920" s="45"/>
    </row>
    <row r="921">
      <c r="AG921" s="45"/>
      <c r="AH921" s="45"/>
      <c r="AI921" s="45"/>
      <c r="AJ921" s="45"/>
      <c r="AK921" s="45"/>
      <c r="AL921" s="45"/>
      <c r="AM921" s="45"/>
    </row>
    <row r="922">
      <c r="AG922" s="45"/>
      <c r="AH922" s="45"/>
      <c r="AI922" s="45"/>
      <c r="AJ922" s="45"/>
      <c r="AK922" s="45"/>
      <c r="AL922" s="45"/>
      <c r="AM922" s="45"/>
    </row>
    <row r="923">
      <c r="AG923" s="45"/>
      <c r="AH923" s="45"/>
      <c r="AI923" s="45"/>
      <c r="AJ923" s="45"/>
      <c r="AK923" s="45"/>
      <c r="AL923" s="45"/>
      <c r="AM923" s="45"/>
    </row>
    <row r="924">
      <c r="AG924" s="45"/>
      <c r="AH924" s="45"/>
      <c r="AI924" s="45"/>
      <c r="AJ924" s="45"/>
      <c r="AK924" s="45"/>
      <c r="AL924" s="45"/>
      <c r="AM924" s="45"/>
    </row>
    <row r="925">
      <c r="AG925" s="45"/>
      <c r="AH925" s="45"/>
      <c r="AI925" s="45"/>
      <c r="AJ925" s="45"/>
      <c r="AK925" s="45"/>
      <c r="AL925" s="45"/>
      <c r="AM925" s="45"/>
    </row>
    <row r="926">
      <c r="AG926" s="45"/>
      <c r="AH926" s="45"/>
      <c r="AI926" s="45"/>
      <c r="AJ926" s="45"/>
      <c r="AK926" s="45"/>
      <c r="AL926" s="45"/>
      <c r="AM926" s="45"/>
    </row>
    <row r="927">
      <c r="AG927" s="45"/>
      <c r="AH927" s="45"/>
      <c r="AI927" s="45"/>
      <c r="AJ927" s="45"/>
      <c r="AK927" s="45"/>
      <c r="AL927" s="45"/>
      <c r="AM927" s="45"/>
    </row>
    <row r="928">
      <c r="AG928" s="45"/>
      <c r="AH928" s="45"/>
      <c r="AI928" s="45"/>
      <c r="AJ928" s="45"/>
      <c r="AK928" s="45"/>
      <c r="AL928" s="45"/>
      <c r="AM928" s="45"/>
    </row>
    <row r="929">
      <c r="AG929" s="45"/>
      <c r="AH929" s="45"/>
      <c r="AI929" s="45"/>
      <c r="AJ929" s="45"/>
      <c r="AK929" s="45"/>
      <c r="AL929" s="45"/>
      <c r="AM929" s="45"/>
    </row>
    <row r="930">
      <c r="AG930" s="45"/>
      <c r="AH930" s="45"/>
      <c r="AI930" s="45"/>
      <c r="AJ930" s="45"/>
      <c r="AK930" s="45"/>
      <c r="AL930" s="45"/>
      <c r="AM930" s="45"/>
    </row>
    <row r="931">
      <c r="AG931" s="45"/>
      <c r="AH931" s="45"/>
      <c r="AI931" s="45"/>
      <c r="AJ931" s="45"/>
      <c r="AK931" s="45"/>
      <c r="AL931" s="45"/>
      <c r="AM931" s="45"/>
    </row>
    <row r="932">
      <c r="AG932" s="45"/>
      <c r="AH932" s="45"/>
      <c r="AI932" s="45"/>
      <c r="AJ932" s="45"/>
      <c r="AK932" s="45"/>
      <c r="AL932" s="45"/>
      <c r="AM932" s="45"/>
    </row>
    <row r="933">
      <c r="AG933" s="45"/>
      <c r="AH933" s="45"/>
      <c r="AI933" s="45"/>
      <c r="AJ933" s="45"/>
      <c r="AK933" s="45"/>
      <c r="AL933" s="45"/>
      <c r="AM933" s="45"/>
    </row>
    <row r="934">
      <c r="AG934" s="45"/>
      <c r="AH934" s="45"/>
      <c r="AI934" s="45"/>
      <c r="AJ934" s="45"/>
      <c r="AK934" s="45"/>
      <c r="AL934" s="45"/>
      <c r="AM934" s="45"/>
    </row>
    <row r="935">
      <c r="AG935" s="45"/>
      <c r="AH935" s="45"/>
      <c r="AI935" s="45"/>
      <c r="AJ935" s="45"/>
      <c r="AK935" s="45"/>
      <c r="AL935" s="45"/>
      <c r="AM935" s="45"/>
    </row>
    <row r="936">
      <c r="AG936" s="45"/>
      <c r="AH936" s="45"/>
      <c r="AI936" s="45"/>
      <c r="AJ936" s="45"/>
      <c r="AK936" s="45"/>
      <c r="AL936" s="45"/>
      <c r="AM936" s="45"/>
    </row>
    <row r="937">
      <c r="AG937" s="45"/>
      <c r="AH937" s="45"/>
      <c r="AI937" s="45"/>
      <c r="AJ937" s="45"/>
      <c r="AK937" s="45"/>
      <c r="AL937" s="45"/>
      <c r="AM937" s="45"/>
    </row>
    <row r="938">
      <c r="AG938" s="45"/>
      <c r="AH938" s="45"/>
      <c r="AI938" s="45"/>
      <c r="AJ938" s="45"/>
      <c r="AK938" s="45"/>
      <c r="AL938" s="45"/>
      <c r="AM938" s="45"/>
    </row>
    <row r="939">
      <c r="AG939" s="45"/>
      <c r="AH939" s="45"/>
      <c r="AI939" s="45"/>
      <c r="AJ939" s="45"/>
      <c r="AK939" s="45"/>
      <c r="AL939" s="45"/>
      <c r="AM939" s="45"/>
    </row>
    <row r="940">
      <c r="AG940" s="45"/>
      <c r="AH940" s="45"/>
      <c r="AI940" s="45"/>
      <c r="AJ940" s="45"/>
      <c r="AK940" s="45"/>
      <c r="AL940" s="45"/>
      <c r="AM940" s="45"/>
    </row>
    <row r="941">
      <c r="AG941" s="45"/>
      <c r="AH941" s="45"/>
      <c r="AI941" s="45"/>
      <c r="AJ941" s="45"/>
      <c r="AK941" s="45"/>
      <c r="AL941" s="45"/>
      <c r="AM941" s="45"/>
    </row>
    <row r="942">
      <c r="AG942" s="45"/>
      <c r="AH942" s="45"/>
      <c r="AI942" s="45"/>
      <c r="AJ942" s="45"/>
      <c r="AK942" s="45"/>
      <c r="AL942" s="45"/>
      <c r="AM942" s="45"/>
    </row>
    <row r="943">
      <c r="AG943" s="45"/>
      <c r="AH943" s="45"/>
      <c r="AI943" s="45"/>
      <c r="AJ943" s="45"/>
      <c r="AK943" s="45"/>
      <c r="AL943" s="45"/>
      <c r="AM943" s="45"/>
    </row>
    <row r="944">
      <c r="AG944" s="45"/>
      <c r="AH944" s="45"/>
      <c r="AI944" s="45"/>
      <c r="AJ944" s="45"/>
      <c r="AK944" s="45"/>
      <c r="AL944" s="45"/>
      <c r="AM944" s="45"/>
    </row>
    <row r="945">
      <c r="AG945" s="45"/>
      <c r="AH945" s="45"/>
      <c r="AI945" s="45"/>
      <c r="AJ945" s="45"/>
      <c r="AK945" s="45"/>
      <c r="AL945" s="45"/>
      <c r="AM945" s="45"/>
    </row>
    <row r="946">
      <c r="AG946" s="45"/>
      <c r="AH946" s="45"/>
      <c r="AI946" s="45"/>
      <c r="AJ946" s="45"/>
      <c r="AK946" s="45"/>
      <c r="AL946" s="45"/>
      <c r="AM946" s="45"/>
    </row>
    <row r="947">
      <c r="AG947" s="45"/>
      <c r="AH947" s="45"/>
      <c r="AI947" s="45"/>
      <c r="AJ947" s="45"/>
      <c r="AK947" s="45"/>
      <c r="AL947" s="45"/>
      <c r="AM947" s="45"/>
    </row>
    <row r="948">
      <c r="AG948" s="45"/>
      <c r="AH948" s="45"/>
      <c r="AI948" s="45"/>
      <c r="AJ948" s="45"/>
      <c r="AK948" s="45"/>
      <c r="AL948" s="45"/>
      <c r="AM948" s="45"/>
    </row>
    <row r="949">
      <c r="AG949" s="45"/>
      <c r="AH949" s="45"/>
      <c r="AI949" s="45"/>
      <c r="AJ949" s="45"/>
      <c r="AK949" s="45"/>
      <c r="AL949" s="45"/>
      <c r="AM949" s="45"/>
    </row>
    <row r="950">
      <c r="AG950" s="45"/>
      <c r="AH950" s="45"/>
      <c r="AI950" s="45"/>
      <c r="AJ950" s="45"/>
      <c r="AK950" s="45"/>
      <c r="AL950" s="45"/>
      <c r="AM950" s="45"/>
    </row>
    <row r="951">
      <c r="AG951" s="45"/>
      <c r="AH951" s="45"/>
      <c r="AI951" s="45"/>
      <c r="AJ951" s="45"/>
      <c r="AK951" s="45"/>
      <c r="AL951" s="45"/>
      <c r="AM951" s="45"/>
    </row>
    <row r="952">
      <c r="AG952" s="45"/>
      <c r="AH952" s="45"/>
      <c r="AI952" s="45"/>
      <c r="AJ952" s="45"/>
      <c r="AK952" s="45"/>
      <c r="AL952" s="45"/>
      <c r="AM952" s="45"/>
    </row>
    <row r="953">
      <c r="AG953" s="45"/>
      <c r="AH953" s="45"/>
      <c r="AI953" s="45"/>
      <c r="AJ953" s="45"/>
      <c r="AK953" s="45"/>
      <c r="AL953" s="45"/>
      <c r="AM953" s="45"/>
    </row>
    <row r="954">
      <c r="AG954" s="45"/>
      <c r="AH954" s="45"/>
      <c r="AI954" s="45"/>
      <c r="AJ954" s="45"/>
      <c r="AK954" s="45"/>
      <c r="AL954" s="45"/>
      <c r="AM954" s="45"/>
    </row>
    <row r="955">
      <c r="AG955" s="45"/>
      <c r="AH955" s="45"/>
      <c r="AI955" s="45"/>
      <c r="AJ955" s="45"/>
      <c r="AK955" s="45"/>
      <c r="AL955" s="45"/>
      <c r="AM955" s="45"/>
    </row>
    <row r="956">
      <c r="AG956" s="45"/>
      <c r="AH956" s="45"/>
      <c r="AI956" s="45"/>
      <c r="AJ956" s="45"/>
      <c r="AK956" s="45"/>
      <c r="AL956" s="45"/>
      <c r="AM956" s="45"/>
    </row>
    <row r="957">
      <c r="AG957" s="45"/>
      <c r="AH957" s="45"/>
      <c r="AI957" s="45"/>
      <c r="AJ957" s="45"/>
      <c r="AK957" s="45"/>
      <c r="AL957" s="45"/>
      <c r="AM957" s="45"/>
    </row>
    <row r="958">
      <c r="AG958" s="45"/>
      <c r="AH958" s="45"/>
      <c r="AI958" s="45"/>
      <c r="AJ958" s="45"/>
      <c r="AK958" s="45"/>
      <c r="AL958" s="45"/>
      <c r="AM958" s="45"/>
    </row>
    <row r="959">
      <c r="AG959" s="45"/>
      <c r="AH959" s="45"/>
      <c r="AI959" s="45"/>
      <c r="AJ959" s="45"/>
      <c r="AK959" s="45"/>
      <c r="AL959" s="45"/>
      <c r="AM959" s="45"/>
    </row>
    <row r="960">
      <c r="AG960" s="45"/>
      <c r="AH960" s="45"/>
      <c r="AI960" s="45"/>
      <c r="AJ960" s="45"/>
      <c r="AK960" s="45"/>
      <c r="AL960" s="45"/>
      <c r="AM960" s="45"/>
    </row>
    <row r="961">
      <c r="AG961" s="45"/>
      <c r="AH961" s="45"/>
      <c r="AI961" s="45"/>
      <c r="AJ961" s="45"/>
      <c r="AK961" s="45"/>
      <c r="AL961" s="45"/>
      <c r="AM961" s="45"/>
    </row>
    <row r="962">
      <c r="AG962" s="45"/>
      <c r="AH962" s="45"/>
      <c r="AI962" s="45"/>
      <c r="AJ962" s="45"/>
      <c r="AK962" s="45"/>
      <c r="AL962" s="45"/>
      <c r="AM962" s="45"/>
    </row>
    <row r="963">
      <c r="AG963" s="45"/>
      <c r="AH963" s="45"/>
      <c r="AI963" s="45"/>
      <c r="AJ963" s="45"/>
      <c r="AK963" s="45"/>
      <c r="AL963" s="45"/>
      <c r="AM963" s="45"/>
    </row>
    <row r="964">
      <c r="AG964" s="45"/>
      <c r="AH964" s="45"/>
      <c r="AI964" s="45"/>
      <c r="AJ964" s="45"/>
      <c r="AK964" s="45"/>
      <c r="AL964" s="45"/>
      <c r="AM964" s="45"/>
    </row>
    <row r="965">
      <c r="AG965" s="45"/>
      <c r="AH965" s="45"/>
      <c r="AI965" s="45"/>
      <c r="AJ965" s="45"/>
      <c r="AK965" s="45"/>
      <c r="AL965" s="45"/>
      <c r="AM965" s="45"/>
    </row>
    <row r="966">
      <c r="AG966" s="45"/>
      <c r="AH966" s="45"/>
      <c r="AI966" s="45"/>
      <c r="AJ966" s="45"/>
      <c r="AK966" s="45"/>
      <c r="AL966" s="45"/>
      <c r="AM966" s="45"/>
    </row>
    <row r="967">
      <c r="AG967" s="45"/>
      <c r="AH967" s="45"/>
      <c r="AI967" s="45"/>
      <c r="AJ967" s="45"/>
      <c r="AK967" s="45"/>
      <c r="AL967" s="45"/>
      <c r="AM967" s="45"/>
    </row>
    <row r="968">
      <c r="AG968" s="45"/>
      <c r="AH968" s="45"/>
      <c r="AI968" s="45"/>
      <c r="AJ968" s="45"/>
      <c r="AK968" s="45"/>
      <c r="AL968" s="45"/>
      <c r="AM968" s="45"/>
    </row>
    <row r="969">
      <c r="AG969" s="45"/>
      <c r="AH969" s="45"/>
      <c r="AI969" s="45"/>
      <c r="AJ969" s="45"/>
      <c r="AK969" s="45"/>
      <c r="AL969" s="45"/>
      <c r="AM969" s="45"/>
    </row>
    <row r="970">
      <c r="AG970" s="45"/>
      <c r="AH970" s="45"/>
      <c r="AI970" s="45"/>
      <c r="AJ970" s="45"/>
      <c r="AK970" s="45"/>
      <c r="AL970" s="45"/>
      <c r="AM970" s="45"/>
    </row>
    <row r="971">
      <c r="AG971" s="45"/>
      <c r="AH971" s="45"/>
      <c r="AI971" s="45"/>
      <c r="AJ971" s="45"/>
      <c r="AK971" s="45"/>
      <c r="AL971" s="45"/>
      <c r="AM971" s="45"/>
    </row>
    <row r="972">
      <c r="AG972" s="45"/>
      <c r="AH972" s="45"/>
      <c r="AI972" s="45"/>
      <c r="AJ972" s="45"/>
      <c r="AK972" s="45"/>
      <c r="AL972" s="45"/>
      <c r="AM972" s="45"/>
    </row>
    <row r="973">
      <c r="AG973" s="45"/>
      <c r="AH973" s="45"/>
      <c r="AI973" s="45"/>
      <c r="AJ973" s="45"/>
      <c r="AK973" s="45"/>
      <c r="AL973" s="45"/>
      <c r="AM973" s="45"/>
    </row>
    <row r="974">
      <c r="AG974" s="45"/>
      <c r="AH974" s="45"/>
      <c r="AI974" s="45"/>
      <c r="AJ974" s="45"/>
      <c r="AK974" s="45"/>
      <c r="AL974" s="45"/>
      <c r="AM974" s="45"/>
    </row>
    <row r="975">
      <c r="AG975" s="45"/>
      <c r="AH975" s="45"/>
      <c r="AI975" s="45"/>
      <c r="AJ975" s="45"/>
      <c r="AK975" s="45"/>
      <c r="AL975" s="45"/>
      <c r="AM975" s="45"/>
    </row>
    <row r="976">
      <c r="AG976" s="45"/>
      <c r="AH976" s="45"/>
      <c r="AI976" s="45"/>
      <c r="AJ976" s="45"/>
      <c r="AK976" s="45"/>
      <c r="AL976" s="45"/>
      <c r="AM976" s="45"/>
    </row>
    <row r="977">
      <c r="AG977" s="45"/>
      <c r="AH977" s="45"/>
      <c r="AI977" s="45"/>
      <c r="AJ977" s="45"/>
      <c r="AK977" s="45"/>
      <c r="AL977" s="45"/>
      <c r="AM977" s="45"/>
    </row>
    <row r="978">
      <c r="AG978" s="45"/>
      <c r="AH978" s="45"/>
      <c r="AI978" s="45"/>
      <c r="AJ978" s="45"/>
      <c r="AK978" s="45"/>
      <c r="AL978" s="45"/>
      <c r="AM978" s="45"/>
    </row>
    <row r="979">
      <c r="AG979" s="45"/>
      <c r="AH979" s="45"/>
      <c r="AI979" s="45"/>
      <c r="AJ979" s="45"/>
      <c r="AK979" s="45"/>
      <c r="AL979" s="45"/>
      <c r="AM979" s="45"/>
    </row>
    <row r="980">
      <c r="AG980" s="45"/>
      <c r="AH980" s="45"/>
      <c r="AI980" s="45"/>
      <c r="AJ980" s="45"/>
      <c r="AK980" s="45"/>
      <c r="AL980" s="45"/>
      <c r="AM980" s="45"/>
    </row>
    <row r="981">
      <c r="AG981" s="45"/>
      <c r="AH981" s="45"/>
      <c r="AI981" s="45"/>
      <c r="AJ981" s="45"/>
      <c r="AK981" s="45"/>
      <c r="AL981" s="45"/>
      <c r="AM981" s="45"/>
    </row>
    <row r="982">
      <c r="AG982" s="45"/>
      <c r="AH982" s="45"/>
      <c r="AI982" s="45"/>
      <c r="AJ982" s="45"/>
      <c r="AK982" s="45"/>
      <c r="AL982" s="45"/>
      <c r="AM982" s="45"/>
    </row>
    <row r="983">
      <c r="AG983" s="45"/>
      <c r="AH983" s="45"/>
      <c r="AI983" s="45"/>
      <c r="AJ983" s="45"/>
      <c r="AK983" s="45"/>
      <c r="AL983" s="45"/>
      <c r="AM983" s="45"/>
    </row>
    <row r="984">
      <c r="AG984" s="45"/>
      <c r="AH984" s="45"/>
      <c r="AI984" s="45"/>
      <c r="AJ984" s="45"/>
      <c r="AK984" s="45"/>
      <c r="AL984" s="45"/>
      <c r="AM984" s="45"/>
    </row>
    <row r="985">
      <c r="AG985" s="45"/>
      <c r="AH985" s="45"/>
      <c r="AI985" s="45"/>
      <c r="AJ985" s="45"/>
      <c r="AK985" s="45"/>
      <c r="AL985" s="45"/>
      <c r="AM985" s="45"/>
    </row>
    <row r="986">
      <c r="AG986" s="45"/>
      <c r="AH986" s="45"/>
      <c r="AI986" s="45"/>
      <c r="AJ986" s="45"/>
      <c r="AK986" s="45"/>
      <c r="AL986" s="45"/>
      <c r="AM986" s="45"/>
    </row>
    <row r="987">
      <c r="AG987" s="45"/>
      <c r="AH987" s="45"/>
      <c r="AI987" s="45"/>
      <c r="AJ987" s="45"/>
      <c r="AK987" s="45"/>
      <c r="AL987" s="45"/>
      <c r="AM987" s="45"/>
    </row>
    <row r="988">
      <c r="AG988" s="45"/>
      <c r="AH988" s="45"/>
      <c r="AI988" s="45"/>
      <c r="AJ988" s="45"/>
      <c r="AK988" s="45"/>
      <c r="AL988" s="45"/>
      <c r="AM988" s="45"/>
    </row>
    <row r="989">
      <c r="AG989" s="45"/>
      <c r="AH989" s="45"/>
      <c r="AI989" s="45"/>
      <c r="AJ989" s="45"/>
      <c r="AK989" s="45"/>
      <c r="AL989" s="45"/>
      <c r="AM989" s="45"/>
    </row>
    <row r="990">
      <c r="AG990" s="45"/>
      <c r="AH990" s="45"/>
      <c r="AI990" s="45"/>
      <c r="AJ990" s="45"/>
      <c r="AK990" s="45"/>
      <c r="AL990" s="45"/>
      <c r="AM990" s="45"/>
    </row>
    <row r="991">
      <c r="AG991" s="45"/>
      <c r="AH991" s="45"/>
      <c r="AI991" s="45"/>
      <c r="AJ991" s="45"/>
      <c r="AK991" s="45"/>
      <c r="AL991" s="45"/>
      <c r="AM991" s="45"/>
    </row>
    <row r="992">
      <c r="AG992" s="45"/>
      <c r="AH992" s="45"/>
      <c r="AI992" s="45"/>
      <c r="AJ992" s="45"/>
      <c r="AK992" s="45"/>
      <c r="AL992" s="45"/>
      <c r="AM992" s="45"/>
    </row>
    <row r="993">
      <c r="AG993" s="45"/>
      <c r="AH993" s="45"/>
      <c r="AI993" s="45"/>
      <c r="AJ993" s="45"/>
      <c r="AK993" s="45"/>
      <c r="AL993" s="45"/>
      <c r="AM993" s="45"/>
    </row>
    <row r="994">
      <c r="AG994" s="45"/>
      <c r="AH994" s="45"/>
      <c r="AI994" s="45"/>
      <c r="AJ994" s="45"/>
      <c r="AK994" s="45"/>
      <c r="AL994" s="45"/>
      <c r="AM994" s="45"/>
    </row>
    <row r="995">
      <c r="AG995" s="45"/>
      <c r="AH995" s="45"/>
      <c r="AI995" s="45"/>
      <c r="AJ995" s="45"/>
      <c r="AK995" s="45"/>
      <c r="AL995" s="45"/>
      <c r="AM995" s="45"/>
    </row>
    <row r="996">
      <c r="AG996" s="45"/>
      <c r="AH996" s="45"/>
      <c r="AI996" s="45"/>
      <c r="AJ996" s="45"/>
      <c r="AK996" s="45"/>
      <c r="AL996" s="45"/>
      <c r="AM996" s="45"/>
    </row>
    <row r="997">
      <c r="AG997" s="45"/>
      <c r="AH997" s="45"/>
      <c r="AI997" s="45"/>
      <c r="AJ997" s="45"/>
      <c r="AK997" s="45"/>
      <c r="AL997" s="45"/>
      <c r="AM997" s="45"/>
    </row>
    <row r="998">
      <c r="AG998" s="45"/>
      <c r="AH998" s="45"/>
      <c r="AI998" s="45"/>
      <c r="AJ998" s="45"/>
      <c r="AK998" s="45"/>
      <c r="AL998" s="45"/>
      <c r="AM998" s="45"/>
    </row>
    <row r="999">
      <c r="AG999" s="45"/>
      <c r="AH999" s="45"/>
      <c r="AI999" s="45"/>
      <c r="AJ999" s="45"/>
      <c r="AK999" s="45"/>
      <c r="AL999" s="45"/>
      <c r="AM999" s="45"/>
    </row>
  </sheetData>
  <dataValidations>
    <dataValidation type="list" allowBlank="1" showErrorMessage="1" sqref="U2:U38">
      <formula1>"Work Not Started Yet,Measrument Done,Material &amp; Team Reached,Structure Work,Panel,Inverter pending,Project On Hold,I&amp;C Completed"</formula1>
    </dataValidation>
    <dataValidation type="list" allowBlank="1" showErrorMessage="1" sqref="R2:R38">
      <formula1>"Doc Recieved,File login,COMPLET"</formula1>
    </dataValidation>
    <dataValidation type="list" allowBlank="1" showErrorMessage="1" sqref="T2:T38">
      <formula1>"Loan apply,File prepare,File into bank,Loan approved,Loan Rejected,CASH FILE"</formula1>
    </dataValidation>
    <dataValidation type="list" allowBlank="1" showErrorMessage="1" sqref="V2:V38">
      <formula1>"Pending,Meter &amp; File submit DISCOM,Net Metering,Subsidy apply with site photo,Subsidy granted"</formula1>
    </dataValidation>
    <dataValidation type="list" allowBlank="1" showErrorMessage="1" sqref="W2:W38">
      <formula1>"Cash To Mahi,1st Installment Received,2ns Installment Received,Payment Not Received Yet,Payment Due"</formula1>
    </dataValidation>
    <dataValidation type="list" allowBlank="1" showErrorMessage="1" sqref="S2:S38">
      <formula1>"Center (78K),Both (78 + 17),WITH OUT SUBSIDY"</formula1>
    </dataValidation>
  </dataValidations>
  <hyperlinks>
    <hyperlink r:id="rId1" ref="I1"/>
    <hyperlink r:id="rId2" ref="K10"/>
    <hyperlink r:id="rId3" ref="K2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31.25"/>
    <col customWidth="1" min="3" max="3" width="23.13"/>
    <col customWidth="1" min="4" max="4" width="5.13"/>
    <col customWidth="1" min="5" max="5" width="4.25"/>
    <col customWidth="1" min="6" max="6" width="6.88"/>
    <col customWidth="1" min="7" max="7" width="13.75"/>
    <col customWidth="1" min="8" max="8" width="10.25"/>
    <col customWidth="1" min="9" max="9" width="12.13"/>
    <col customWidth="1" min="10" max="10" width="10.38"/>
    <col customWidth="1" min="11" max="11" width="38.63"/>
    <col customWidth="1" min="12" max="12" width="42.88"/>
    <col customWidth="1" min="13" max="13" width="16.75"/>
    <col customWidth="1" min="14" max="14" width="20.0"/>
    <col customWidth="1" min="15" max="15" width="13.25"/>
    <col customWidth="1" min="16" max="17" width="6.5"/>
    <col customWidth="1" min="18" max="18" width="16.0"/>
    <col customWidth="1" min="19" max="19" width="16.5"/>
    <col customWidth="1" min="20" max="20" width="17.0"/>
    <col customWidth="1" min="21" max="21" width="25.0"/>
    <col customWidth="1" min="22" max="22" width="27.38"/>
    <col customWidth="1" min="23" max="23" width="25.75"/>
    <col customWidth="1" min="24" max="24" width="16.13"/>
    <col customWidth="1" min="25" max="25" width="16.38"/>
    <col customWidth="1" min="26" max="26" width="12.5"/>
    <col customWidth="1" min="27" max="27" width="22.0"/>
    <col customWidth="1" min="28" max="28" width="21.5"/>
    <col customWidth="1" min="29" max="29" width="9.75"/>
    <col customWidth="1" min="30" max="30" width="16.5"/>
    <col customWidth="1" min="31" max="31" width="15.13"/>
    <col customWidth="1" min="32" max="32" width="23.13"/>
    <col customWidth="1" min="33" max="33" width="34.13"/>
    <col customWidth="1" min="34" max="73" width="13.0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3" t="s">
        <v>7</v>
      </c>
      <c r="G1" s="4" t="s">
        <v>8</v>
      </c>
      <c r="H1" s="4" t="s">
        <v>10</v>
      </c>
      <c r="I1" s="5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4" t="s">
        <v>18</v>
      </c>
      <c r="Q1" s="3" t="s">
        <v>19</v>
      </c>
      <c r="R1" s="6" t="s">
        <v>20</v>
      </c>
      <c r="S1" s="7" t="s">
        <v>21</v>
      </c>
      <c r="T1" s="7" t="s">
        <v>22</v>
      </c>
      <c r="U1" s="7" t="s">
        <v>24</v>
      </c>
      <c r="V1" s="6" t="s">
        <v>25</v>
      </c>
      <c r="W1" s="7" t="s">
        <v>27</v>
      </c>
      <c r="X1" s="8" t="s">
        <v>29</v>
      </c>
      <c r="Y1" s="8" t="s">
        <v>30</v>
      </c>
      <c r="Z1" s="9" t="s">
        <v>31</v>
      </c>
      <c r="AA1" s="9" t="s">
        <v>32</v>
      </c>
      <c r="AB1" s="9" t="s">
        <v>33</v>
      </c>
      <c r="AC1" s="9" t="s">
        <v>34</v>
      </c>
      <c r="AD1" s="11" t="s">
        <v>35</v>
      </c>
      <c r="AE1" s="9" t="s">
        <v>36</v>
      </c>
      <c r="AF1" s="9" t="s">
        <v>37</v>
      </c>
      <c r="AG1" s="1" t="s">
        <v>38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>
      <c r="A2" s="24">
        <v>1.0</v>
      </c>
      <c r="B2" s="23" t="s">
        <v>54</v>
      </c>
      <c r="C2" s="23" t="s">
        <v>56</v>
      </c>
      <c r="D2" s="23"/>
      <c r="E2" s="23"/>
      <c r="F2" s="23"/>
      <c r="G2" s="23"/>
      <c r="H2" s="23"/>
      <c r="I2" s="23"/>
      <c r="J2" s="23"/>
      <c r="K2" s="23" t="s">
        <v>61</v>
      </c>
      <c r="L2" s="23" t="s">
        <v>62</v>
      </c>
      <c r="M2" s="20">
        <v>225000.0</v>
      </c>
      <c r="N2" s="23"/>
      <c r="O2" s="23"/>
      <c r="P2" s="23"/>
      <c r="Q2" s="23">
        <f t="shared" ref="Q2:Q24" si="1">N2-P2</f>
        <v>0</v>
      </c>
      <c r="R2" s="19" t="s">
        <v>66</v>
      </c>
      <c r="S2" s="19" t="s">
        <v>69</v>
      </c>
      <c r="T2" s="19" t="s">
        <v>71</v>
      </c>
      <c r="U2" s="29" t="s">
        <v>68</v>
      </c>
      <c r="V2" s="23" t="s">
        <v>70</v>
      </c>
      <c r="W2" s="20" t="s">
        <v>72</v>
      </c>
      <c r="X2" s="23"/>
      <c r="Y2" s="23"/>
      <c r="Z2" s="23"/>
      <c r="AA2" s="23"/>
      <c r="AB2" s="23"/>
      <c r="AC2" s="23"/>
      <c r="AD2" s="23">
        <f t="shared" ref="AD2:AD24" si="2">AE2-AC2</f>
        <v>0</v>
      </c>
      <c r="AE2" s="23"/>
      <c r="AF2" s="33">
        <f t="shared" ref="AF2:AF24" si="3">X2+Y2+Z2+AA2</f>
        <v>0</v>
      </c>
      <c r="AG2" s="23"/>
      <c r="AH2" s="23"/>
      <c r="AI2" s="23"/>
      <c r="AJ2" s="23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</row>
    <row r="3">
      <c r="A3" s="24">
        <v>2.0</v>
      </c>
      <c r="B3" s="23" t="s">
        <v>87</v>
      </c>
      <c r="C3" s="23" t="s">
        <v>88</v>
      </c>
      <c r="D3" s="22">
        <v>3.0</v>
      </c>
      <c r="E3" s="33" t="s">
        <v>44</v>
      </c>
      <c r="F3" s="23"/>
      <c r="G3" s="23" t="s">
        <v>90</v>
      </c>
      <c r="H3" s="23" t="s">
        <v>92</v>
      </c>
      <c r="I3" s="22">
        <v>2.11543006758E11</v>
      </c>
      <c r="J3" s="22">
        <v>9.636956119E9</v>
      </c>
      <c r="K3" s="23" t="s">
        <v>98</v>
      </c>
      <c r="L3" s="23" t="s">
        <v>99</v>
      </c>
      <c r="M3" s="23"/>
      <c r="N3" s="23"/>
      <c r="O3" s="23"/>
      <c r="P3" s="23"/>
      <c r="Q3" s="23">
        <f t="shared" si="1"/>
        <v>0</v>
      </c>
      <c r="R3" s="18" t="s">
        <v>82</v>
      </c>
      <c r="S3" s="19" t="s">
        <v>65</v>
      </c>
      <c r="T3" s="19" t="s">
        <v>71</v>
      </c>
      <c r="U3" s="29" t="s">
        <v>68</v>
      </c>
      <c r="V3" s="23" t="s">
        <v>70</v>
      </c>
      <c r="W3" s="20" t="s">
        <v>72</v>
      </c>
      <c r="X3" s="23"/>
      <c r="Y3" s="23"/>
      <c r="Z3" s="23"/>
      <c r="AA3" s="23"/>
      <c r="AB3" s="28">
        <f t="shared" ref="AB3:AB24" si="4">Q3-Z3-AA3</f>
        <v>0</v>
      </c>
      <c r="AC3" s="28">
        <f t="shared" ref="AC3:AC24" si="5">P3-X3-Y3</f>
        <v>0</v>
      </c>
      <c r="AD3" s="23">
        <f t="shared" si="2"/>
        <v>0</v>
      </c>
      <c r="AE3" s="28">
        <f t="shared" ref="AE3:AE24" si="6">O3-(X3+Y3+Z3)</f>
        <v>0</v>
      </c>
      <c r="AF3" s="28">
        <f t="shared" si="3"/>
        <v>0</v>
      </c>
      <c r="AG3" s="23"/>
      <c r="AH3" s="23"/>
      <c r="AI3" s="23"/>
      <c r="AJ3" s="23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</row>
    <row r="4">
      <c r="A4" s="47">
        <v>3.0</v>
      </c>
      <c r="B4" s="27" t="s">
        <v>41</v>
      </c>
      <c r="C4" s="27" t="s">
        <v>122</v>
      </c>
      <c r="D4" s="27" t="s">
        <v>43</v>
      </c>
      <c r="E4" s="27" t="s">
        <v>44</v>
      </c>
      <c r="F4" s="27" t="s">
        <v>77</v>
      </c>
      <c r="G4" s="27" t="s">
        <v>123</v>
      </c>
      <c r="H4" s="27" t="s">
        <v>124</v>
      </c>
      <c r="I4" s="27">
        <v>2.11525007064E11</v>
      </c>
      <c r="J4" s="27">
        <v>8.005880815E9</v>
      </c>
      <c r="K4" s="27" t="s">
        <v>126</v>
      </c>
      <c r="L4" s="27" t="s">
        <v>127</v>
      </c>
      <c r="M4" s="27">
        <v>225000.0</v>
      </c>
      <c r="N4" s="27">
        <v>200000.0</v>
      </c>
      <c r="O4" s="27">
        <v>170000.0</v>
      </c>
      <c r="P4" s="27">
        <v>200000.0</v>
      </c>
      <c r="Q4" s="23">
        <f t="shared" si="1"/>
        <v>0</v>
      </c>
      <c r="R4" s="19" t="s">
        <v>28</v>
      </c>
      <c r="S4" s="18" t="s">
        <v>65</v>
      </c>
      <c r="T4" s="18" t="s">
        <v>73</v>
      </c>
      <c r="U4" s="29" t="s">
        <v>68</v>
      </c>
      <c r="V4" s="23" t="s">
        <v>70</v>
      </c>
      <c r="W4" s="20" t="s">
        <v>72</v>
      </c>
      <c r="X4" s="28"/>
      <c r="Y4" s="28"/>
      <c r="Z4" s="28"/>
      <c r="AA4" s="28"/>
      <c r="AB4" s="28">
        <f t="shared" si="4"/>
        <v>0</v>
      </c>
      <c r="AC4" s="28">
        <f t="shared" si="5"/>
        <v>200000</v>
      </c>
      <c r="AD4" s="23">
        <f t="shared" si="2"/>
        <v>-30000</v>
      </c>
      <c r="AE4" s="28">
        <f t="shared" si="6"/>
        <v>170000</v>
      </c>
      <c r="AF4" s="28">
        <f t="shared" si="3"/>
        <v>0</v>
      </c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>
      <c r="A5" s="24">
        <v>1.0</v>
      </c>
      <c r="B5" s="35" t="s">
        <v>151</v>
      </c>
      <c r="C5" s="41" t="s">
        <v>152</v>
      </c>
      <c r="D5" s="50" t="s">
        <v>43</v>
      </c>
      <c r="E5" s="50" t="s">
        <v>44</v>
      </c>
      <c r="F5" s="35" t="s">
        <v>77</v>
      </c>
      <c r="G5" s="41" t="s">
        <v>90</v>
      </c>
      <c r="H5" s="41" t="s">
        <v>92</v>
      </c>
      <c r="I5" s="39">
        <v>2.11543033252E11</v>
      </c>
      <c r="J5" s="39">
        <v>9.799535224E9</v>
      </c>
      <c r="K5" s="41" t="s">
        <v>153</v>
      </c>
      <c r="L5" s="41" t="s">
        <v>154</v>
      </c>
      <c r="M5" s="39">
        <v>200000.0</v>
      </c>
      <c r="N5" s="39">
        <v>180000.0</v>
      </c>
      <c r="O5" s="50">
        <f>150000+15000</f>
        <v>165000</v>
      </c>
      <c r="P5" s="39">
        <v>180000.0</v>
      </c>
      <c r="Q5" s="41">
        <f t="shared" si="1"/>
        <v>0</v>
      </c>
      <c r="R5" s="30" t="s">
        <v>82</v>
      </c>
      <c r="S5" s="31" t="s">
        <v>69</v>
      </c>
      <c r="T5" s="31" t="s">
        <v>83</v>
      </c>
      <c r="U5" s="38" t="s">
        <v>84</v>
      </c>
      <c r="V5" s="35" t="s">
        <v>85</v>
      </c>
      <c r="W5" s="35" t="s">
        <v>86</v>
      </c>
      <c r="X5" s="39">
        <v>126000.0</v>
      </c>
      <c r="Y5" s="39">
        <v>54000.0</v>
      </c>
      <c r="Z5" s="39"/>
      <c r="AA5" s="39"/>
      <c r="AB5" s="42">
        <f t="shared" si="4"/>
        <v>0</v>
      </c>
      <c r="AC5" s="42">
        <f t="shared" si="5"/>
        <v>0</v>
      </c>
      <c r="AD5" s="41">
        <f t="shared" si="2"/>
        <v>-15000</v>
      </c>
      <c r="AE5" s="42">
        <f t="shared" si="6"/>
        <v>-15000</v>
      </c>
      <c r="AF5" s="42">
        <f t="shared" si="3"/>
        <v>180000</v>
      </c>
      <c r="AG5" s="35" t="s">
        <v>171</v>
      </c>
      <c r="AH5" s="41"/>
      <c r="AI5" s="41"/>
      <c r="AJ5" s="41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</row>
    <row r="6">
      <c r="A6" s="24">
        <v>2.0</v>
      </c>
      <c r="B6" s="35" t="s">
        <v>151</v>
      </c>
      <c r="C6" s="41" t="s">
        <v>177</v>
      </c>
      <c r="D6" s="41" t="s">
        <v>43</v>
      </c>
      <c r="E6" s="35" t="s">
        <v>44</v>
      </c>
      <c r="F6" s="35" t="s">
        <v>77</v>
      </c>
      <c r="G6" s="41" t="s">
        <v>178</v>
      </c>
      <c r="H6" s="41" t="s">
        <v>92</v>
      </c>
      <c r="I6" s="39">
        <v>2.11543024429E11</v>
      </c>
      <c r="J6" s="39">
        <v>9.602580089E9</v>
      </c>
      <c r="K6" s="41" t="s">
        <v>179</v>
      </c>
      <c r="L6" s="41" t="s">
        <v>181</v>
      </c>
      <c r="M6" s="39">
        <v>200000.0</v>
      </c>
      <c r="N6" s="39">
        <v>180000.0</v>
      </c>
      <c r="O6" s="50">
        <v>170000.0</v>
      </c>
      <c r="P6" s="35">
        <v>180000.0</v>
      </c>
      <c r="Q6" s="41">
        <f t="shared" si="1"/>
        <v>0</v>
      </c>
      <c r="R6" s="30" t="s">
        <v>82</v>
      </c>
      <c r="S6" s="30" t="s">
        <v>69</v>
      </c>
      <c r="T6" s="30" t="s">
        <v>83</v>
      </c>
      <c r="U6" s="38" t="s">
        <v>84</v>
      </c>
      <c r="V6" s="35" t="s">
        <v>85</v>
      </c>
      <c r="W6" s="35" t="s">
        <v>86</v>
      </c>
      <c r="X6" s="35">
        <v>126000.0</v>
      </c>
      <c r="Y6" s="35">
        <v>54000.0</v>
      </c>
      <c r="Z6" s="41"/>
      <c r="AA6" s="41"/>
      <c r="AB6" s="42">
        <f t="shared" si="4"/>
        <v>0</v>
      </c>
      <c r="AC6" s="42">
        <f t="shared" si="5"/>
        <v>0</v>
      </c>
      <c r="AD6" s="41">
        <f t="shared" si="2"/>
        <v>-10000</v>
      </c>
      <c r="AE6" s="42">
        <f t="shared" si="6"/>
        <v>-10000</v>
      </c>
      <c r="AF6" s="42">
        <f t="shared" si="3"/>
        <v>180000</v>
      </c>
      <c r="AG6" s="41"/>
      <c r="AH6" s="41"/>
      <c r="AI6" s="41"/>
      <c r="AJ6" s="41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</row>
    <row r="7" ht="19.5" customHeight="1">
      <c r="A7" s="47">
        <v>3.0</v>
      </c>
      <c r="B7" s="38" t="s">
        <v>197</v>
      </c>
      <c r="C7" s="38" t="s">
        <v>198</v>
      </c>
      <c r="D7" s="38" t="s">
        <v>132</v>
      </c>
      <c r="E7" s="38" t="s">
        <v>44</v>
      </c>
      <c r="F7" s="38" t="s">
        <v>77</v>
      </c>
      <c r="G7" s="38" t="s">
        <v>201</v>
      </c>
      <c r="H7" s="38" t="s">
        <v>92</v>
      </c>
      <c r="I7" s="38">
        <v>2.11543031692E11</v>
      </c>
      <c r="J7" s="38">
        <v>9.950010084E9</v>
      </c>
      <c r="K7" s="38" t="s">
        <v>204</v>
      </c>
      <c r="L7" s="38" t="s">
        <v>206</v>
      </c>
      <c r="M7" s="38">
        <v>211000.0</v>
      </c>
      <c r="N7" s="38">
        <v>190000.0</v>
      </c>
      <c r="O7" s="38">
        <v>170000.0</v>
      </c>
      <c r="P7" s="38">
        <v>189000.0</v>
      </c>
      <c r="Q7" s="41">
        <f t="shared" si="1"/>
        <v>1000</v>
      </c>
      <c r="R7" s="30" t="s">
        <v>82</v>
      </c>
      <c r="S7" s="30" t="s">
        <v>69</v>
      </c>
      <c r="T7" s="30" t="s">
        <v>83</v>
      </c>
      <c r="U7" s="38" t="s">
        <v>84</v>
      </c>
      <c r="V7" s="35" t="s">
        <v>207</v>
      </c>
      <c r="W7" s="35" t="s">
        <v>125</v>
      </c>
      <c r="X7" s="38">
        <v>132300.0</v>
      </c>
      <c r="Y7" s="38">
        <v>56700.0</v>
      </c>
      <c r="Z7" s="42"/>
      <c r="AA7" s="42"/>
      <c r="AB7" s="42">
        <f t="shared" si="4"/>
        <v>1000</v>
      </c>
      <c r="AC7" s="42">
        <f t="shared" si="5"/>
        <v>0</v>
      </c>
      <c r="AD7" s="41">
        <f t="shared" si="2"/>
        <v>-19000</v>
      </c>
      <c r="AE7" s="42">
        <f t="shared" si="6"/>
        <v>-19000</v>
      </c>
      <c r="AF7" s="42">
        <f t="shared" si="3"/>
        <v>189000</v>
      </c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</row>
    <row r="8" ht="15.0" customHeight="1">
      <c r="A8" s="24">
        <v>4.0</v>
      </c>
      <c r="B8" s="35" t="s">
        <v>197</v>
      </c>
      <c r="C8" s="41" t="s">
        <v>216</v>
      </c>
      <c r="D8" s="41" t="s">
        <v>104</v>
      </c>
      <c r="E8" s="35" t="s">
        <v>44</v>
      </c>
      <c r="F8" s="35" t="s">
        <v>77</v>
      </c>
      <c r="G8" s="35" t="s">
        <v>90</v>
      </c>
      <c r="H8" s="41" t="s">
        <v>92</v>
      </c>
      <c r="I8" s="39">
        <v>2.11543029486E11</v>
      </c>
      <c r="J8" s="39">
        <v>9.001854634E9</v>
      </c>
      <c r="K8" s="41" t="s">
        <v>219</v>
      </c>
      <c r="L8" s="41"/>
      <c r="M8" s="39">
        <v>225000.0</v>
      </c>
      <c r="N8" s="39">
        <v>255000.0</v>
      </c>
      <c r="O8" s="50">
        <v>250000.0</v>
      </c>
      <c r="P8" s="35">
        <v>200000.0</v>
      </c>
      <c r="Q8" s="41">
        <f t="shared" si="1"/>
        <v>55000</v>
      </c>
      <c r="R8" s="30" t="s">
        <v>82</v>
      </c>
      <c r="S8" s="31" t="s">
        <v>65</v>
      </c>
      <c r="T8" s="30" t="s">
        <v>83</v>
      </c>
      <c r="U8" s="38" t="s">
        <v>84</v>
      </c>
      <c r="V8" s="35" t="s">
        <v>207</v>
      </c>
      <c r="W8" s="35" t="s">
        <v>125</v>
      </c>
      <c r="X8" s="35">
        <v>140000.0</v>
      </c>
      <c r="Y8" s="35">
        <v>60000.0</v>
      </c>
      <c r="Z8" s="35"/>
      <c r="AA8" s="41"/>
      <c r="AB8" s="42">
        <f t="shared" si="4"/>
        <v>55000</v>
      </c>
      <c r="AC8" s="42">
        <f t="shared" si="5"/>
        <v>0</v>
      </c>
      <c r="AD8" s="41">
        <f t="shared" si="2"/>
        <v>50000</v>
      </c>
      <c r="AE8" s="42">
        <f t="shared" si="6"/>
        <v>50000</v>
      </c>
      <c r="AF8" s="42">
        <f t="shared" si="3"/>
        <v>200000</v>
      </c>
      <c r="AG8" s="35" t="s">
        <v>221</v>
      </c>
      <c r="AH8" s="41"/>
      <c r="AI8" s="41"/>
      <c r="AJ8" s="41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</row>
    <row r="9" ht="17.25" customHeight="1">
      <c r="A9" s="24">
        <v>5.0</v>
      </c>
      <c r="B9" s="38" t="s">
        <v>197</v>
      </c>
      <c r="C9" s="38" t="s">
        <v>225</v>
      </c>
      <c r="D9" s="38" t="s">
        <v>226</v>
      </c>
      <c r="E9" s="38" t="s">
        <v>44</v>
      </c>
      <c r="F9" s="38" t="s">
        <v>77</v>
      </c>
      <c r="G9" s="38" t="s">
        <v>227</v>
      </c>
      <c r="H9" s="38" t="s">
        <v>92</v>
      </c>
      <c r="I9" s="38">
        <v>2.11543002919E11</v>
      </c>
      <c r="J9" s="38">
        <v>8.003778333E9</v>
      </c>
      <c r="K9" s="38" t="s">
        <v>228</v>
      </c>
      <c r="L9" s="38" t="s">
        <v>229</v>
      </c>
      <c r="M9" s="38">
        <v>225000.0</v>
      </c>
      <c r="N9" s="38">
        <v>355000.0</v>
      </c>
      <c r="O9" s="38">
        <v>300000.0</v>
      </c>
      <c r="P9" s="38">
        <v>200000.0</v>
      </c>
      <c r="Q9" s="41">
        <f t="shared" si="1"/>
        <v>155000</v>
      </c>
      <c r="R9" s="30" t="s">
        <v>82</v>
      </c>
      <c r="S9" s="30" t="s">
        <v>69</v>
      </c>
      <c r="T9" s="30" t="s">
        <v>83</v>
      </c>
      <c r="U9" s="38" t="s">
        <v>84</v>
      </c>
      <c r="V9" s="35" t="s">
        <v>207</v>
      </c>
      <c r="W9" s="35" t="s">
        <v>125</v>
      </c>
      <c r="X9" s="38">
        <v>140000.0</v>
      </c>
      <c r="Y9" s="38">
        <v>60000.0</v>
      </c>
      <c r="Z9" s="42"/>
      <c r="AA9" s="42"/>
      <c r="AB9" s="42">
        <f t="shared" si="4"/>
        <v>155000</v>
      </c>
      <c r="AC9" s="42">
        <f t="shared" si="5"/>
        <v>0</v>
      </c>
      <c r="AD9" s="41">
        <f t="shared" si="2"/>
        <v>100000</v>
      </c>
      <c r="AE9" s="42">
        <f t="shared" si="6"/>
        <v>100000</v>
      </c>
      <c r="AF9" s="42">
        <f t="shared" si="3"/>
        <v>200000</v>
      </c>
      <c r="AG9" s="38" t="s">
        <v>233</v>
      </c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</row>
    <row r="10">
      <c r="A10" s="47">
        <v>6.0</v>
      </c>
      <c r="B10" s="35" t="s">
        <v>235</v>
      </c>
      <c r="C10" s="41" t="s">
        <v>236</v>
      </c>
      <c r="D10" s="41" t="s">
        <v>132</v>
      </c>
      <c r="E10" s="35" t="s">
        <v>44</v>
      </c>
      <c r="F10" s="35" t="s">
        <v>237</v>
      </c>
      <c r="G10" s="41" t="s">
        <v>238</v>
      </c>
      <c r="H10" s="41" t="s">
        <v>239</v>
      </c>
      <c r="I10" s="39">
        <v>1.10561009732E11</v>
      </c>
      <c r="J10" s="39">
        <v>8.741802877E9</v>
      </c>
      <c r="K10" s="41" t="s">
        <v>242</v>
      </c>
      <c r="L10" s="41" t="s">
        <v>243</v>
      </c>
      <c r="M10" s="39">
        <v>200000.0</v>
      </c>
      <c r="N10" s="39">
        <v>180000.0</v>
      </c>
      <c r="O10" s="50">
        <v>170000.0</v>
      </c>
      <c r="P10" s="35">
        <v>180000.0</v>
      </c>
      <c r="Q10" s="41">
        <f t="shared" si="1"/>
        <v>0</v>
      </c>
      <c r="R10" s="30" t="s">
        <v>82</v>
      </c>
      <c r="S10" s="31" t="s">
        <v>65</v>
      </c>
      <c r="T10" s="30" t="s">
        <v>83</v>
      </c>
      <c r="U10" s="38" t="s">
        <v>84</v>
      </c>
      <c r="V10" s="35" t="s">
        <v>175</v>
      </c>
      <c r="W10" s="35" t="s">
        <v>176</v>
      </c>
      <c r="X10" s="35">
        <v>126000.0</v>
      </c>
      <c r="Y10" s="41"/>
      <c r="Z10" s="41"/>
      <c r="AA10" s="41"/>
      <c r="AB10" s="42">
        <f t="shared" si="4"/>
        <v>0</v>
      </c>
      <c r="AC10" s="42">
        <f t="shared" si="5"/>
        <v>54000</v>
      </c>
      <c r="AD10" s="41">
        <f t="shared" si="2"/>
        <v>-10000</v>
      </c>
      <c r="AE10" s="42">
        <f t="shared" si="6"/>
        <v>44000</v>
      </c>
      <c r="AF10" s="42">
        <f t="shared" si="3"/>
        <v>126000</v>
      </c>
      <c r="AG10" s="37"/>
      <c r="AH10" s="41"/>
      <c r="AI10" s="41"/>
      <c r="AJ10" s="41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</row>
    <row r="11">
      <c r="A11" s="47">
        <v>7.0</v>
      </c>
      <c r="B11" s="38" t="s">
        <v>235</v>
      </c>
      <c r="C11" s="38" t="s">
        <v>250</v>
      </c>
      <c r="D11" s="38" t="s">
        <v>43</v>
      </c>
      <c r="E11" s="38" t="s">
        <v>44</v>
      </c>
      <c r="F11" s="38" t="s">
        <v>251</v>
      </c>
      <c r="G11" s="38" t="s">
        <v>252</v>
      </c>
      <c r="H11" s="38" t="s">
        <v>164</v>
      </c>
      <c r="I11" s="38">
        <v>2.11544002801E11</v>
      </c>
      <c r="J11" s="38">
        <v>8.619004473E9</v>
      </c>
      <c r="K11" s="38" t="s">
        <v>253</v>
      </c>
      <c r="L11" s="38" t="s">
        <v>254</v>
      </c>
      <c r="M11" s="38">
        <v>211000.0</v>
      </c>
      <c r="N11" s="38">
        <v>190000.0</v>
      </c>
      <c r="O11" s="38">
        <v>170000.0</v>
      </c>
      <c r="P11" s="38">
        <v>189000.0</v>
      </c>
      <c r="Q11" s="41">
        <f t="shared" si="1"/>
        <v>1000</v>
      </c>
      <c r="R11" s="30" t="s">
        <v>82</v>
      </c>
      <c r="S11" s="30" t="s">
        <v>69</v>
      </c>
      <c r="T11" s="30" t="s">
        <v>83</v>
      </c>
      <c r="U11" s="38" t="s">
        <v>84</v>
      </c>
      <c r="V11" s="35" t="s">
        <v>207</v>
      </c>
      <c r="W11" s="35" t="s">
        <v>125</v>
      </c>
      <c r="X11" s="38">
        <v>147000.0</v>
      </c>
      <c r="Y11" s="38">
        <v>64000.0</v>
      </c>
      <c r="Z11" s="42"/>
      <c r="AA11" s="42"/>
      <c r="AB11" s="42">
        <f t="shared" si="4"/>
        <v>1000</v>
      </c>
      <c r="AC11" s="42">
        <f t="shared" si="5"/>
        <v>-22000</v>
      </c>
      <c r="AD11" s="41">
        <f t="shared" si="2"/>
        <v>-19000</v>
      </c>
      <c r="AE11" s="42">
        <f t="shared" si="6"/>
        <v>-41000</v>
      </c>
      <c r="AF11" s="42">
        <f t="shared" si="3"/>
        <v>211000</v>
      </c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</row>
    <row r="12">
      <c r="A12" s="47">
        <v>8.0</v>
      </c>
      <c r="B12" s="35" t="s">
        <v>235</v>
      </c>
      <c r="C12" s="41" t="s">
        <v>266</v>
      </c>
      <c r="D12" s="41" t="s">
        <v>104</v>
      </c>
      <c r="E12" s="35" t="s">
        <v>58</v>
      </c>
      <c r="F12" s="35" t="s">
        <v>77</v>
      </c>
      <c r="G12" s="35" t="s">
        <v>267</v>
      </c>
      <c r="H12" s="41" t="s">
        <v>135</v>
      </c>
      <c r="I12" s="39">
        <v>2.10474038323E11</v>
      </c>
      <c r="J12" s="35">
        <v>9.928051888E9</v>
      </c>
      <c r="K12" s="41" t="s">
        <v>268</v>
      </c>
      <c r="L12" s="64" t="s">
        <v>269</v>
      </c>
      <c r="M12" s="50">
        <v>225000.0</v>
      </c>
      <c r="N12" s="35">
        <v>260000.0</v>
      </c>
      <c r="O12" s="35">
        <v>265000.0</v>
      </c>
      <c r="P12" s="35">
        <v>200000.0</v>
      </c>
      <c r="Q12" s="41">
        <f t="shared" si="1"/>
        <v>60000</v>
      </c>
      <c r="R12" s="30" t="s">
        <v>82</v>
      </c>
      <c r="S12" s="31" t="s">
        <v>65</v>
      </c>
      <c r="T12" s="30" t="s">
        <v>83</v>
      </c>
      <c r="U12" s="38" t="s">
        <v>84</v>
      </c>
      <c r="V12" s="35" t="s">
        <v>278</v>
      </c>
      <c r="W12" s="35" t="s">
        <v>176</v>
      </c>
      <c r="X12" s="35">
        <v>140000.0</v>
      </c>
      <c r="Y12" s="41"/>
      <c r="Z12" s="41"/>
      <c r="AA12" s="41"/>
      <c r="AB12" s="42">
        <f t="shared" si="4"/>
        <v>60000</v>
      </c>
      <c r="AC12" s="42">
        <f t="shared" si="5"/>
        <v>60000</v>
      </c>
      <c r="AD12" s="41">
        <f t="shared" si="2"/>
        <v>65000</v>
      </c>
      <c r="AE12" s="42">
        <f t="shared" si="6"/>
        <v>125000</v>
      </c>
      <c r="AF12" s="42">
        <f t="shared" si="3"/>
        <v>140000</v>
      </c>
      <c r="AG12" s="37"/>
      <c r="AH12" s="41"/>
      <c r="AI12" s="41"/>
      <c r="AJ12" s="41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</row>
    <row r="13">
      <c r="A13" s="47">
        <v>9.0</v>
      </c>
      <c r="B13" s="38" t="s">
        <v>235</v>
      </c>
      <c r="C13" s="38" t="s">
        <v>283</v>
      </c>
      <c r="D13" s="38" t="s">
        <v>274</v>
      </c>
      <c r="E13" s="38" t="s">
        <v>44</v>
      </c>
      <c r="F13" s="38" t="s">
        <v>77</v>
      </c>
      <c r="G13" s="38" t="s">
        <v>90</v>
      </c>
      <c r="H13" s="38" t="s">
        <v>92</v>
      </c>
      <c r="I13" s="38">
        <v>2.11543016284E11</v>
      </c>
      <c r="J13" s="38">
        <v>9.928914848E9</v>
      </c>
      <c r="K13" s="38" t="s">
        <v>284</v>
      </c>
      <c r="L13" s="38" t="s">
        <v>285</v>
      </c>
      <c r="M13" s="38">
        <v>211000.0</v>
      </c>
      <c r="N13" s="38">
        <v>190000.0</v>
      </c>
      <c r="O13" s="38">
        <v>170000.0</v>
      </c>
      <c r="P13" s="38">
        <v>189000.0</v>
      </c>
      <c r="Q13" s="41">
        <f t="shared" si="1"/>
        <v>1000</v>
      </c>
      <c r="R13" s="30" t="s">
        <v>82</v>
      </c>
      <c r="S13" s="30" t="s">
        <v>69</v>
      </c>
      <c r="T13" s="30" t="s">
        <v>83</v>
      </c>
      <c r="U13" s="38" t="s">
        <v>84</v>
      </c>
      <c r="V13" s="35" t="s">
        <v>175</v>
      </c>
      <c r="W13" s="35" t="s">
        <v>176</v>
      </c>
      <c r="X13" s="38">
        <v>132300.0</v>
      </c>
      <c r="Y13" s="42"/>
      <c r="Z13" s="42"/>
      <c r="AA13" s="42"/>
      <c r="AB13" s="42">
        <f t="shared" si="4"/>
        <v>1000</v>
      </c>
      <c r="AC13" s="42">
        <f t="shared" si="5"/>
        <v>56700</v>
      </c>
      <c r="AD13" s="41">
        <f t="shared" si="2"/>
        <v>-19000</v>
      </c>
      <c r="AE13" s="42">
        <f t="shared" si="6"/>
        <v>37700</v>
      </c>
      <c r="AF13" s="42">
        <f t="shared" si="3"/>
        <v>132300</v>
      </c>
      <c r="AG13" s="45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</row>
    <row r="14">
      <c r="A14" s="47">
        <v>10.0</v>
      </c>
      <c r="B14" s="38" t="s">
        <v>235</v>
      </c>
      <c r="C14" s="38" t="s">
        <v>292</v>
      </c>
      <c r="D14" s="38" t="s">
        <v>43</v>
      </c>
      <c r="E14" s="38" t="s">
        <v>44</v>
      </c>
      <c r="F14" s="38" t="s">
        <v>77</v>
      </c>
      <c r="G14" s="38" t="s">
        <v>90</v>
      </c>
      <c r="H14" s="38" t="s">
        <v>92</v>
      </c>
      <c r="I14" s="38">
        <v>2.11543004068E11</v>
      </c>
      <c r="J14" s="38">
        <v>9.680139875E9</v>
      </c>
      <c r="K14" s="38" t="s">
        <v>293</v>
      </c>
      <c r="L14" s="38" t="s">
        <v>294</v>
      </c>
      <c r="M14" s="38">
        <v>205000.0</v>
      </c>
      <c r="N14" s="38">
        <v>185000.0</v>
      </c>
      <c r="O14" s="38">
        <v>170000.0</v>
      </c>
      <c r="P14" s="38">
        <v>185000.0</v>
      </c>
      <c r="Q14" s="41">
        <f t="shared" si="1"/>
        <v>0</v>
      </c>
      <c r="R14" s="30" t="s">
        <v>82</v>
      </c>
      <c r="S14" s="30" t="s">
        <v>65</v>
      </c>
      <c r="T14" s="30" t="s">
        <v>83</v>
      </c>
      <c r="U14" s="38" t="s">
        <v>84</v>
      </c>
      <c r="V14" s="35" t="s">
        <v>175</v>
      </c>
      <c r="W14" s="35" t="s">
        <v>176</v>
      </c>
      <c r="X14" s="38">
        <v>128800.0</v>
      </c>
      <c r="Y14" s="42"/>
      <c r="Z14" s="42"/>
      <c r="AA14" s="42"/>
      <c r="AB14" s="42">
        <f t="shared" si="4"/>
        <v>0</v>
      </c>
      <c r="AC14" s="42">
        <f t="shared" si="5"/>
        <v>56200</v>
      </c>
      <c r="AD14" s="41">
        <f t="shared" si="2"/>
        <v>-15000</v>
      </c>
      <c r="AE14" s="42">
        <f t="shared" si="6"/>
        <v>41200</v>
      </c>
      <c r="AF14" s="42">
        <f t="shared" si="3"/>
        <v>128800</v>
      </c>
      <c r="AG14" s="45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</row>
    <row r="15">
      <c r="A15" s="47">
        <v>11.0</v>
      </c>
      <c r="B15" s="38" t="s">
        <v>235</v>
      </c>
      <c r="C15" s="38" t="s">
        <v>301</v>
      </c>
      <c r="D15" s="38" t="s">
        <v>43</v>
      </c>
      <c r="E15" s="38" t="s">
        <v>44</v>
      </c>
      <c r="F15" s="38" t="s">
        <v>162</v>
      </c>
      <c r="G15" s="38" t="s">
        <v>302</v>
      </c>
      <c r="H15" s="38" t="s">
        <v>164</v>
      </c>
      <c r="I15" s="38">
        <v>2.11544029437E11</v>
      </c>
      <c r="J15" s="66">
        <v>9.636953406E9</v>
      </c>
      <c r="K15" s="38" t="s">
        <v>305</v>
      </c>
      <c r="L15" s="67" t="s">
        <v>307</v>
      </c>
      <c r="M15" s="38">
        <v>211000.0</v>
      </c>
      <c r="N15" s="38">
        <v>190000.0</v>
      </c>
      <c r="O15" s="38">
        <v>170000.0</v>
      </c>
      <c r="P15" s="38">
        <v>189000.0</v>
      </c>
      <c r="Q15" s="41">
        <f t="shared" si="1"/>
        <v>1000</v>
      </c>
      <c r="R15" s="30" t="s">
        <v>82</v>
      </c>
      <c r="S15" s="30" t="s">
        <v>69</v>
      </c>
      <c r="T15" s="30" t="s">
        <v>83</v>
      </c>
      <c r="U15" s="38" t="s">
        <v>84</v>
      </c>
      <c r="V15" s="35" t="s">
        <v>175</v>
      </c>
      <c r="W15" s="35" t="s">
        <v>176</v>
      </c>
      <c r="X15" s="38">
        <v>94500.0</v>
      </c>
      <c r="Y15" s="42"/>
      <c r="Z15" s="42"/>
      <c r="AA15" s="42"/>
      <c r="AB15" s="42">
        <f t="shared" si="4"/>
        <v>1000</v>
      </c>
      <c r="AC15" s="42">
        <f t="shared" si="5"/>
        <v>94500</v>
      </c>
      <c r="AD15" s="41">
        <f t="shared" si="2"/>
        <v>-19000</v>
      </c>
      <c r="AE15" s="42">
        <f t="shared" si="6"/>
        <v>75500</v>
      </c>
      <c r="AF15" s="42">
        <f t="shared" si="3"/>
        <v>94500</v>
      </c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</row>
    <row r="16">
      <c r="A16" s="47">
        <v>12.0</v>
      </c>
      <c r="B16" s="16" t="s">
        <v>41</v>
      </c>
      <c r="C16" s="16" t="s">
        <v>316</v>
      </c>
      <c r="D16" s="43" t="s">
        <v>43</v>
      </c>
      <c r="E16" s="43" t="s">
        <v>44</v>
      </c>
      <c r="F16" s="54" t="s">
        <v>77</v>
      </c>
      <c r="G16" s="16" t="s">
        <v>90</v>
      </c>
      <c r="H16" s="16" t="s">
        <v>92</v>
      </c>
      <c r="I16" s="40">
        <v>2.11543004116E11</v>
      </c>
      <c r="J16" s="40">
        <v>9.982314035E9</v>
      </c>
      <c r="K16" s="16" t="s">
        <v>318</v>
      </c>
      <c r="L16" s="16"/>
      <c r="M16" s="40">
        <v>211000.0</v>
      </c>
      <c r="N16" s="40">
        <v>190000.0</v>
      </c>
      <c r="O16" s="43">
        <v>170000.0</v>
      </c>
      <c r="P16" s="40">
        <v>186000.0</v>
      </c>
      <c r="Q16" s="16">
        <f t="shared" si="1"/>
        <v>4000</v>
      </c>
      <c r="R16" s="61" t="s">
        <v>28</v>
      </c>
      <c r="S16" s="61" t="s">
        <v>65</v>
      </c>
      <c r="T16" s="61" t="s">
        <v>73</v>
      </c>
      <c r="U16" s="51" t="s">
        <v>194</v>
      </c>
      <c r="V16" s="16" t="s">
        <v>70</v>
      </c>
      <c r="W16" s="54" t="s">
        <v>72</v>
      </c>
      <c r="X16" s="16"/>
      <c r="Y16" s="16"/>
      <c r="Z16" s="16"/>
      <c r="AA16" s="16"/>
      <c r="AB16" s="69">
        <f t="shared" si="4"/>
        <v>4000</v>
      </c>
      <c r="AC16" s="69">
        <f t="shared" si="5"/>
        <v>186000</v>
      </c>
      <c r="AD16" s="37">
        <f t="shared" si="2"/>
        <v>-16000</v>
      </c>
      <c r="AE16" s="69">
        <f t="shared" si="6"/>
        <v>170000</v>
      </c>
      <c r="AF16" s="69">
        <f t="shared" si="3"/>
        <v>0</v>
      </c>
      <c r="AG16" s="16"/>
      <c r="AH16" s="16"/>
      <c r="AI16" s="16"/>
      <c r="AJ16" s="16"/>
    </row>
    <row r="17">
      <c r="A17" s="47">
        <v>13.0</v>
      </c>
      <c r="B17" s="16" t="s">
        <v>41</v>
      </c>
      <c r="C17" s="16" t="s">
        <v>324</v>
      </c>
      <c r="D17" s="43" t="s">
        <v>43</v>
      </c>
      <c r="E17" s="43" t="s">
        <v>44</v>
      </c>
      <c r="F17" s="54" t="s">
        <v>325</v>
      </c>
      <c r="G17" s="16" t="s">
        <v>100</v>
      </c>
      <c r="H17" s="16" t="s">
        <v>92</v>
      </c>
      <c r="I17" s="40">
        <v>2.1154301033E11</v>
      </c>
      <c r="J17" s="54">
        <v>7.297821259E9</v>
      </c>
      <c r="K17" s="16" t="s">
        <v>326</v>
      </c>
      <c r="L17" s="16" t="s">
        <v>327</v>
      </c>
      <c r="M17" s="40">
        <v>211000.0</v>
      </c>
      <c r="N17" s="40">
        <v>190000.0</v>
      </c>
      <c r="O17" s="43">
        <v>170000.0</v>
      </c>
      <c r="P17" s="40">
        <v>189000.0</v>
      </c>
      <c r="Q17" s="16">
        <f t="shared" si="1"/>
        <v>1000</v>
      </c>
      <c r="R17" s="61" t="s">
        <v>28</v>
      </c>
      <c r="S17" s="61" t="s">
        <v>65</v>
      </c>
      <c r="T17" s="61" t="s">
        <v>73</v>
      </c>
      <c r="U17" s="51" t="s">
        <v>194</v>
      </c>
      <c r="V17" s="16" t="s">
        <v>70</v>
      </c>
      <c r="W17" s="54" t="s">
        <v>72</v>
      </c>
      <c r="X17" s="16"/>
      <c r="Y17" s="16"/>
      <c r="Z17" s="16"/>
      <c r="AA17" s="16"/>
      <c r="AB17" s="69">
        <f t="shared" si="4"/>
        <v>1000</v>
      </c>
      <c r="AC17" s="69">
        <f t="shared" si="5"/>
        <v>189000</v>
      </c>
      <c r="AD17" s="37">
        <f t="shared" si="2"/>
        <v>-19000</v>
      </c>
      <c r="AE17" s="69">
        <f t="shared" si="6"/>
        <v>170000</v>
      </c>
      <c r="AF17" s="69">
        <f t="shared" si="3"/>
        <v>0</v>
      </c>
      <c r="AG17" s="16"/>
      <c r="AH17" s="16"/>
      <c r="AI17" s="16"/>
      <c r="AJ17" s="16"/>
    </row>
    <row r="18">
      <c r="A18" s="47">
        <v>14.0</v>
      </c>
      <c r="B18" s="54" t="s">
        <v>41</v>
      </c>
      <c r="C18" s="16" t="s">
        <v>335</v>
      </c>
      <c r="D18" s="16" t="s">
        <v>104</v>
      </c>
      <c r="E18" s="54" t="s">
        <v>44</v>
      </c>
      <c r="F18" s="54" t="s">
        <v>77</v>
      </c>
      <c r="G18" s="16" t="s">
        <v>336</v>
      </c>
      <c r="H18" s="16" t="s">
        <v>336</v>
      </c>
      <c r="I18" s="40">
        <v>2.10516014667E11</v>
      </c>
      <c r="J18" s="40">
        <v>9.784846022E9</v>
      </c>
      <c r="K18" s="16" t="s">
        <v>337</v>
      </c>
      <c r="L18" s="16" t="s">
        <v>62</v>
      </c>
      <c r="M18" s="40">
        <v>225000.0</v>
      </c>
      <c r="N18" s="40">
        <v>255000.0</v>
      </c>
      <c r="O18" s="43">
        <v>250000.0</v>
      </c>
      <c r="P18" s="54">
        <v>200000.0</v>
      </c>
      <c r="Q18" s="16">
        <f t="shared" si="1"/>
        <v>55000</v>
      </c>
      <c r="R18" s="61" t="s">
        <v>28</v>
      </c>
      <c r="S18" s="53" t="s">
        <v>69</v>
      </c>
      <c r="T18" s="53" t="s">
        <v>73</v>
      </c>
      <c r="U18" s="51" t="s">
        <v>194</v>
      </c>
      <c r="V18" s="16" t="s">
        <v>70</v>
      </c>
      <c r="W18" s="54" t="s">
        <v>72</v>
      </c>
      <c r="X18" s="16"/>
      <c r="Y18" s="16"/>
      <c r="Z18" s="16"/>
      <c r="AA18" s="16"/>
      <c r="AB18" s="69">
        <f t="shared" si="4"/>
        <v>55000</v>
      </c>
      <c r="AC18" s="69">
        <f t="shared" si="5"/>
        <v>200000</v>
      </c>
      <c r="AD18" s="37">
        <f t="shared" si="2"/>
        <v>50000</v>
      </c>
      <c r="AE18" s="69">
        <f t="shared" si="6"/>
        <v>250000</v>
      </c>
      <c r="AF18" s="69">
        <f t="shared" si="3"/>
        <v>0</v>
      </c>
      <c r="AG18" s="16"/>
      <c r="AH18" s="16"/>
      <c r="AI18" s="16"/>
      <c r="AJ18" s="16"/>
    </row>
    <row r="19">
      <c r="A19" s="47">
        <v>15.0</v>
      </c>
      <c r="B19" s="73" t="s">
        <v>54</v>
      </c>
      <c r="C19" s="73" t="s">
        <v>343</v>
      </c>
      <c r="D19" s="73" t="s">
        <v>226</v>
      </c>
      <c r="E19" s="74"/>
      <c r="F19" s="74"/>
      <c r="G19" s="74"/>
      <c r="H19" s="74"/>
      <c r="I19" s="74"/>
      <c r="J19" s="73">
        <v>7.375098842E9</v>
      </c>
      <c r="K19" s="73" t="s">
        <v>347</v>
      </c>
      <c r="L19" s="73" t="s">
        <v>348</v>
      </c>
      <c r="M19" s="74"/>
      <c r="N19" s="74"/>
      <c r="O19" s="74"/>
      <c r="P19" s="74"/>
      <c r="Q19" s="68">
        <f t="shared" si="1"/>
        <v>0</v>
      </c>
      <c r="R19" s="75" t="s">
        <v>28</v>
      </c>
      <c r="S19" s="76" t="s">
        <v>69</v>
      </c>
      <c r="T19" s="76" t="s">
        <v>74</v>
      </c>
      <c r="U19" s="77" t="s">
        <v>353</v>
      </c>
      <c r="V19" s="68" t="s">
        <v>70</v>
      </c>
      <c r="W19" s="78" t="s">
        <v>72</v>
      </c>
      <c r="X19" s="74"/>
      <c r="Y19" s="74"/>
      <c r="Z19" s="74"/>
      <c r="AA19" s="74"/>
      <c r="AB19" s="74">
        <f t="shared" si="4"/>
        <v>0</v>
      </c>
      <c r="AC19" s="74">
        <f t="shared" si="5"/>
        <v>0</v>
      </c>
      <c r="AD19" s="72">
        <f t="shared" si="2"/>
        <v>0</v>
      </c>
      <c r="AE19" s="74">
        <f t="shared" si="6"/>
        <v>0</v>
      </c>
      <c r="AF19" s="74">
        <f t="shared" si="3"/>
        <v>0</v>
      </c>
      <c r="AG19" s="45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</row>
    <row r="20">
      <c r="A20" s="47">
        <v>16.0</v>
      </c>
      <c r="B20" s="51" t="s">
        <v>41</v>
      </c>
      <c r="C20" s="51" t="s">
        <v>362</v>
      </c>
      <c r="D20" s="51" t="s">
        <v>43</v>
      </c>
      <c r="E20" s="51" t="s">
        <v>44</v>
      </c>
      <c r="F20" s="51" t="s">
        <v>77</v>
      </c>
      <c r="G20" s="51" t="s">
        <v>363</v>
      </c>
      <c r="H20" s="51" t="s">
        <v>92</v>
      </c>
      <c r="I20" s="51">
        <v>2.1154303233E11</v>
      </c>
      <c r="J20" s="51">
        <v>7.891492888E9</v>
      </c>
      <c r="K20" s="51" t="s">
        <v>364</v>
      </c>
      <c r="L20" s="51" t="s">
        <v>365</v>
      </c>
      <c r="M20" s="51">
        <v>217000.0</v>
      </c>
      <c r="N20" s="51">
        <v>195000.0</v>
      </c>
      <c r="O20" s="51">
        <v>170000.0</v>
      </c>
      <c r="P20" s="51">
        <v>195000.0</v>
      </c>
      <c r="Q20" s="16">
        <f t="shared" si="1"/>
        <v>0</v>
      </c>
      <c r="R20" s="61" t="s">
        <v>28</v>
      </c>
      <c r="S20" s="61" t="s">
        <v>69</v>
      </c>
      <c r="T20" s="53" t="s">
        <v>73</v>
      </c>
      <c r="U20" s="51" t="s">
        <v>194</v>
      </c>
      <c r="V20" s="16" t="s">
        <v>70</v>
      </c>
      <c r="W20" s="54" t="s">
        <v>72</v>
      </c>
      <c r="AB20" s="69">
        <f t="shared" si="4"/>
        <v>0</v>
      </c>
      <c r="AC20" s="69">
        <f t="shared" si="5"/>
        <v>195000</v>
      </c>
      <c r="AD20" s="37">
        <f t="shared" si="2"/>
        <v>-25000</v>
      </c>
      <c r="AE20" s="69">
        <f t="shared" si="6"/>
        <v>170000</v>
      </c>
      <c r="AF20" s="69">
        <f t="shared" si="3"/>
        <v>0</v>
      </c>
    </row>
    <row r="21">
      <c r="A21" s="47">
        <v>17.0</v>
      </c>
      <c r="B21" s="73" t="s">
        <v>370</v>
      </c>
      <c r="C21" s="73" t="s">
        <v>371</v>
      </c>
      <c r="D21" s="73" t="s">
        <v>372</v>
      </c>
      <c r="E21" s="73" t="s">
        <v>44</v>
      </c>
      <c r="F21" s="73" t="s">
        <v>77</v>
      </c>
      <c r="G21" s="73" t="s">
        <v>210</v>
      </c>
      <c r="H21" s="73" t="s">
        <v>114</v>
      </c>
      <c r="I21" s="73">
        <v>2.11529031375E11</v>
      </c>
      <c r="J21" s="73">
        <v>7.062933004E9</v>
      </c>
      <c r="K21" s="73" t="s">
        <v>374</v>
      </c>
      <c r="L21" s="73" t="s">
        <v>375</v>
      </c>
      <c r="M21" s="73">
        <v>225000.0</v>
      </c>
      <c r="N21" s="73">
        <v>270000.0</v>
      </c>
      <c r="O21" s="73">
        <v>250000.0</v>
      </c>
      <c r="P21" s="73">
        <v>200000.0</v>
      </c>
      <c r="Q21" s="68">
        <f t="shared" si="1"/>
        <v>70000</v>
      </c>
      <c r="R21" s="75" t="s">
        <v>28</v>
      </c>
      <c r="S21" s="76" t="s">
        <v>69</v>
      </c>
      <c r="T21" s="76" t="s">
        <v>83</v>
      </c>
      <c r="U21" s="77" t="s">
        <v>353</v>
      </c>
      <c r="V21" s="81" t="s">
        <v>175</v>
      </c>
      <c r="W21" s="78" t="s">
        <v>176</v>
      </c>
      <c r="X21" s="73">
        <v>140000.0</v>
      </c>
      <c r="Y21" s="74"/>
      <c r="Z21" s="73">
        <v>34000.0</v>
      </c>
      <c r="AA21" s="74"/>
      <c r="AB21" s="74">
        <f t="shared" si="4"/>
        <v>36000</v>
      </c>
      <c r="AC21" s="74">
        <f t="shared" si="5"/>
        <v>60000</v>
      </c>
      <c r="AD21" s="68">
        <f t="shared" si="2"/>
        <v>16000</v>
      </c>
      <c r="AE21" s="74">
        <f t="shared" si="6"/>
        <v>76000</v>
      </c>
      <c r="AF21" s="74">
        <f t="shared" si="3"/>
        <v>174000</v>
      </c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</row>
    <row r="22">
      <c r="A22" s="47">
        <v>18.0</v>
      </c>
      <c r="B22" s="51" t="s">
        <v>20</v>
      </c>
      <c r="C22" s="51" t="s">
        <v>387</v>
      </c>
      <c r="D22" s="51" t="s">
        <v>43</v>
      </c>
      <c r="E22" s="51" t="s">
        <v>44</v>
      </c>
      <c r="F22" s="51"/>
      <c r="G22" s="51" t="s">
        <v>389</v>
      </c>
      <c r="H22" s="51" t="s">
        <v>390</v>
      </c>
      <c r="I22" s="51">
        <v>2.1152505197E11</v>
      </c>
      <c r="J22" s="51">
        <v>9.252880789E9</v>
      </c>
      <c r="K22" s="51" t="s">
        <v>392</v>
      </c>
      <c r="M22" s="51">
        <v>217000.0</v>
      </c>
      <c r="N22" s="51">
        <v>195000.0</v>
      </c>
      <c r="O22" s="51">
        <v>170000.0</v>
      </c>
      <c r="P22" s="51">
        <v>195000.0</v>
      </c>
      <c r="Q22" s="16">
        <f t="shared" si="1"/>
        <v>0</v>
      </c>
      <c r="R22" s="61" t="s">
        <v>28</v>
      </c>
      <c r="S22" s="53" t="s">
        <v>69</v>
      </c>
      <c r="T22" s="53" t="s">
        <v>71</v>
      </c>
      <c r="U22" s="51" t="s">
        <v>194</v>
      </c>
      <c r="V22" s="16" t="s">
        <v>70</v>
      </c>
      <c r="W22" s="54" t="s">
        <v>72</v>
      </c>
      <c r="AB22" s="69">
        <f t="shared" si="4"/>
        <v>0</v>
      </c>
      <c r="AC22" s="69">
        <f t="shared" si="5"/>
        <v>195000</v>
      </c>
      <c r="AD22" s="37">
        <f t="shared" si="2"/>
        <v>-25000</v>
      </c>
      <c r="AE22" s="69">
        <f t="shared" si="6"/>
        <v>170000</v>
      </c>
      <c r="AF22" s="69">
        <f t="shared" si="3"/>
        <v>0</v>
      </c>
    </row>
    <row r="23">
      <c r="A23" s="47">
        <v>19.0</v>
      </c>
      <c r="B23" s="51" t="s">
        <v>397</v>
      </c>
      <c r="C23" s="51" t="s">
        <v>399</v>
      </c>
      <c r="D23" s="51" t="s">
        <v>104</v>
      </c>
      <c r="F23" s="51"/>
      <c r="G23" s="51" t="s">
        <v>210</v>
      </c>
      <c r="H23" s="51" t="s">
        <v>135</v>
      </c>
      <c r="I23" s="51">
        <v>2.10474080523E11</v>
      </c>
      <c r="J23" s="51">
        <v>9.799179097E9</v>
      </c>
      <c r="K23" s="51" t="s">
        <v>400</v>
      </c>
      <c r="L23" s="51" t="s">
        <v>401</v>
      </c>
      <c r="O23" s="51">
        <v>250000.0</v>
      </c>
      <c r="Q23" s="16">
        <f t="shared" si="1"/>
        <v>0</v>
      </c>
      <c r="R23" s="61" t="s">
        <v>28</v>
      </c>
      <c r="S23" s="53" t="s">
        <v>69</v>
      </c>
      <c r="T23" s="53" t="s">
        <v>71</v>
      </c>
      <c r="U23" s="51" t="s">
        <v>194</v>
      </c>
      <c r="V23" s="16" t="s">
        <v>70</v>
      </c>
      <c r="W23" s="54" t="s">
        <v>72</v>
      </c>
      <c r="AB23" s="69">
        <f t="shared" si="4"/>
        <v>0</v>
      </c>
      <c r="AC23" s="69">
        <f t="shared" si="5"/>
        <v>0</v>
      </c>
      <c r="AD23" s="37">
        <f t="shared" si="2"/>
        <v>250000</v>
      </c>
      <c r="AE23" s="69">
        <f t="shared" si="6"/>
        <v>250000</v>
      </c>
      <c r="AF23" s="69">
        <f t="shared" si="3"/>
        <v>0</v>
      </c>
    </row>
    <row r="24">
      <c r="A24" s="47">
        <v>20.0</v>
      </c>
      <c r="B24" s="86" t="s">
        <v>370</v>
      </c>
      <c r="C24" s="86" t="s">
        <v>409</v>
      </c>
      <c r="D24" s="86" t="s">
        <v>104</v>
      </c>
      <c r="E24" s="86" t="s">
        <v>44</v>
      </c>
      <c r="F24" s="86" t="s">
        <v>412</v>
      </c>
      <c r="G24" s="86" t="s">
        <v>134</v>
      </c>
      <c r="H24" s="86" t="s">
        <v>114</v>
      </c>
      <c r="I24" s="86">
        <v>2.11529025044E11</v>
      </c>
      <c r="J24" s="86">
        <v>7.340067237E9</v>
      </c>
      <c r="K24" s="86" t="s">
        <v>416</v>
      </c>
      <c r="L24" s="86" t="s">
        <v>417</v>
      </c>
      <c r="M24" s="86">
        <v>225000.0</v>
      </c>
      <c r="N24" s="86">
        <v>278000.0</v>
      </c>
      <c r="O24" s="86">
        <v>250000.0</v>
      </c>
      <c r="P24" s="86">
        <v>200000.0</v>
      </c>
      <c r="Q24" s="83">
        <f t="shared" si="1"/>
        <v>78000</v>
      </c>
      <c r="R24" s="89" t="s">
        <v>28</v>
      </c>
      <c r="S24" s="89" t="s">
        <v>69</v>
      </c>
      <c r="T24" s="89" t="s">
        <v>83</v>
      </c>
      <c r="U24" s="86" t="s">
        <v>194</v>
      </c>
      <c r="V24" s="82" t="s">
        <v>175</v>
      </c>
      <c r="W24" s="82" t="s">
        <v>176</v>
      </c>
      <c r="X24" s="86">
        <v>116000.0</v>
      </c>
      <c r="Y24" s="91"/>
      <c r="Z24" s="91"/>
      <c r="AA24" s="91"/>
      <c r="AB24" s="91">
        <f t="shared" si="4"/>
        <v>78000</v>
      </c>
      <c r="AC24" s="91">
        <f t="shared" si="5"/>
        <v>84000</v>
      </c>
      <c r="AD24" s="83">
        <f t="shared" si="2"/>
        <v>50000</v>
      </c>
      <c r="AE24" s="91">
        <f t="shared" si="6"/>
        <v>134000</v>
      </c>
      <c r="AF24" s="91">
        <f t="shared" si="3"/>
        <v>116000</v>
      </c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</row>
    <row r="25">
      <c r="Q25" s="16"/>
      <c r="R25" s="53"/>
      <c r="S25" s="53"/>
      <c r="T25" s="53"/>
      <c r="V25" s="16"/>
      <c r="W25" s="16"/>
      <c r="AD25" s="37"/>
    </row>
    <row r="26">
      <c r="Q26" s="16"/>
      <c r="R26" s="53"/>
      <c r="S26" s="53"/>
      <c r="T26" s="53"/>
      <c r="V26" s="16"/>
      <c r="W26" s="16"/>
      <c r="AD26" s="37"/>
    </row>
    <row r="27">
      <c r="Q27" s="16"/>
      <c r="R27" s="53"/>
      <c r="S27" s="53"/>
      <c r="T27" s="53"/>
      <c r="U27" s="54"/>
      <c r="V27" s="16"/>
      <c r="W27" s="16"/>
      <c r="AD27" s="37"/>
    </row>
    <row r="28">
      <c r="Q28" s="16"/>
      <c r="R28" s="53"/>
      <c r="S28" s="53"/>
      <c r="T28" s="53"/>
      <c r="U28" s="54"/>
      <c r="V28" s="16"/>
      <c r="W28" s="16"/>
      <c r="AD28" s="37"/>
    </row>
    <row r="29">
      <c r="Q29" s="16"/>
      <c r="R29" s="53"/>
      <c r="S29" s="53"/>
      <c r="T29" s="53"/>
      <c r="U29" s="54"/>
      <c r="V29" s="16"/>
      <c r="W29" s="16"/>
      <c r="AD29" s="37"/>
    </row>
    <row r="30">
      <c r="Q30" s="16"/>
      <c r="R30" s="53"/>
      <c r="S30" s="53"/>
      <c r="T30" s="53"/>
      <c r="U30" s="54"/>
      <c r="V30" s="16"/>
      <c r="W30" s="16"/>
      <c r="AD30" s="37"/>
    </row>
    <row r="31">
      <c r="Q31" s="16"/>
      <c r="R31" s="53"/>
      <c r="S31" s="53"/>
      <c r="T31" s="53"/>
      <c r="U31" s="54"/>
      <c r="V31" s="16"/>
      <c r="W31" s="16"/>
      <c r="AD31" s="37"/>
    </row>
    <row r="32">
      <c r="Q32" s="16"/>
      <c r="R32" s="53"/>
      <c r="W32" s="16"/>
      <c r="AD32" s="37"/>
    </row>
  </sheetData>
  <dataValidations>
    <dataValidation type="list" allowBlank="1" showErrorMessage="1" sqref="U2:U24">
      <formula1>"Work Not Started Yet,Measrument Done,Material &amp; Team Reached,Structure Work,Panel,Inverter pending,Project On Hold,I&amp;C Completed"</formula1>
    </dataValidation>
    <dataValidation type="list" allowBlank="1" showErrorMessage="1" sqref="R2:R24">
      <formula1>"Doc Recieved,File login,COMPLET"</formula1>
    </dataValidation>
    <dataValidation type="list" allowBlank="1" showErrorMessage="1" sqref="T2:T24">
      <formula1>"Loan apply,File prepare,File into bank,Loan approved,Loan Rejected,CASH FILE"</formula1>
    </dataValidation>
    <dataValidation type="list" allowBlank="1" showErrorMessage="1" sqref="V2:V24">
      <formula1>"Pending,Meter &amp; File submit DISCOM,Net Metering,Subsidy apply with site photo,Subsidy granted"</formula1>
    </dataValidation>
    <dataValidation type="list" allowBlank="1" showErrorMessage="1" sqref="W2:W24">
      <formula1>"Cash To Mahi,1st Installment Received,2ns Installment Received,Payment Not Received Yet,Payment Due"</formula1>
    </dataValidation>
    <dataValidation type="list" allowBlank="1" showErrorMessage="1" sqref="S2:S24">
      <formula1>"Center (78K),Both (78 + 17),WITH OUT SUBSIDY"</formula1>
    </dataValidation>
  </dataValidations>
  <hyperlinks>
    <hyperlink r:id="rId1" ref="I1"/>
    <hyperlink r:id="rId2" ref="L12"/>
    <hyperlink r:id="rId3" ref="L1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5"/>
    <col customWidth="1" min="2" max="2" width="22.25"/>
    <col customWidth="1" min="3" max="3" width="20.38"/>
    <col customWidth="1" min="4" max="4" width="4.63"/>
    <col customWidth="1" min="5" max="5" width="4.25"/>
    <col customWidth="1" min="6" max="6" width="6.0"/>
    <col customWidth="1" min="7" max="7" width="13.38"/>
    <col customWidth="1" min="8" max="8" width="12.5"/>
    <col customWidth="1" min="9" max="9" width="12.13"/>
    <col customWidth="1" min="10" max="10" width="10.25"/>
    <col customWidth="1" min="11" max="11" width="31.13"/>
    <col customWidth="1" min="12" max="12" width="20.88"/>
    <col customWidth="1" min="13" max="13" width="16.75"/>
    <col customWidth="1" min="14" max="14" width="20.0"/>
    <col customWidth="1" min="15" max="15" width="13.25"/>
    <col customWidth="1" min="16" max="16" width="6.63"/>
    <col customWidth="1" min="17" max="17" width="7.13"/>
    <col customWidth="1" min="18" max="18" width="16.0"/>
    <col customWidth="1" min="19" max="19" width="16.5"/>
    <col customWidth="1" min="20" max="20" width="17.0"/>
    <col customWidth="1" min="21" max="21" width="24.38"/>
    <col customWidth="1" min="22" max="22" width="27.38"/>
    <col customWidth="1" min="23" max="23" width="25.75"/>
    <col customWidth="1" min="24" max="24" width="16.13"/>
    <col customWidth="1" min="25" max="25" width="16.38"/>
    <col customWidth="1" min="26" max="26" width="12.5"/>
    <col customWidth="1" min="27" max="27" width="22.0"/>
    <col customWidth="1" min="28" max="28" width="21.5"/>
    <col customWidth="1" min="29" max="29" width="9.75"/>
    <col customWidth="1" min="30" max="30" width="16.5"/>
    <col customWidth="1" min="31" max="31" width="15.13"/>
    <col customWidth="1" min="32" max="32" width="23.13"/>
    <col customWidth="1" min="33" max="33" width="8.38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3" t="s">
        <v>7</v>
      </c>
      <c r="G1" s="4" t="s">
        <v>8</v>
      </c>
      <c r="H1" s="4" t="s">
        <v>10</v>
      </c>
      <c r="I1" s="5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4" t="s">
        <v>18</v>
      </c>
      <c r="Q1" s="3" t="s">
        <v>19</v>
      </c>
      <c r="R1" s="6" t="s">
        <v>20</v>
      </c>
      <c r="S1" s="7" t="s">
        <v>21</v>
      </c>
      <c r="T1" s="7" t="s">
        <v>22</v>
      </c>
      <c r="U1" s="7" t="s">
        <v>24</v>
      </c>
      <c r="V1" s="6" t="s">
        <v>25</v>
      </c>
      <c r="W1" s="7" t="s">
        <v>27</v>
      </c>
      <c r="X1" s="8" t="s">
        <v>29</v>
      </c>
      <c r="Y1" s="8" t="s">
        <v>30</v>
      </c>
      <c r="Z1" s="9" t="s">
        <v>31</v>
      </c>
      <c r="AA1" s="9" t="s">
        <v>32</v>
      </c>
      <c r="AB1" s="9" t="s">
        <v>33</v>
      </c>
      <c r="AC1" s="9" t="s">
        <v>34</v>
      </c>
      <c r="AD1" s="11" t="s">
        <v>35</v>
      </c>
      <c r="AE1" s="9" t="s">
        <v>36</v>
      </c>
      <c r="AF1" s="9" t="s">
        <v>37</v>
      </c>
      <c r="AG1" s="1" t="s">
        <v>38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16"/>
    </row>
    <row r="2">
      <c r="A2" s="17">
        <v>1.0</v>
      </c>
      <c r="B2" s="18" t="s">
        <v>41</v>
      </c>
      <c r="C2" s="19" t="s">
        <v>42</v>
      </c>
      <c r="D2" s="19" t="s">
        <v>43</v>
      </c>
      <c r="E2" s="18" t="s">
        <v>44</v>
      </c>
      <c r="F2" s="20"/>
      <c r="G2" s="20" t="s">
        <v>45</v>
      </c>
      <c r="H2" s="19" t="s">
        <v>46</v>
      </c>
      <c r="I2" s="22">
        <v>2.10454044569E11</v>
      </c>
      <c r="J2" s="22">
        <v>9.07925466E9</v>
      </c>
      <c r="K2" s="23" t="s">
        <v>49</v>
      </c>
      <c r="L2" s="23" t="s">
        <v>52</v>
      </c>
      <c r="M2" s="25">
        <v>200000.0</v>
      </c>
      <c r="N2" s="25">
        <v>180000.0</v>
      </c>
      <c r="O2" s="26">
        <v>177000.0</v>
      </c>
      <c r="P2" s="20">
        <v>180000.0</v>
      </c>
      <c r="Q2" s="25">
        <f t="shared" ref="Q2:Q17" si="1">N2-P2</f>
        <v>0</v>
      </c>
      <c r="R2" s="19" t="s">
        <v>28</v>
      </c>
      <c r="S2" s="19" t="s">
        <v>65</v>
      </c>
      <c r="T2" s="18" t="s">
        <v>67</v>
      </c>
      <c r="U2" s="27" t="s">
        <v>68</v>
      </c>
      <c r="V2" s="20" t="s">
        <v>70</v>
      </c>
      <c r="W2" s="20" t="s">
        <v>72</v>
      </c>
      <c r="X2" s="23"/>
      <c r="Y2" s="23"/>
      <c r="Z2" s="23"/>
      <c r="AA2" s="23"/>
      <c r="AB2" s="28"/>
      <c r="AC2" s="28"/>
      <c r="AD2" s="28"/>
      <c r="AE2" s="28"/>
      <c r="AF2" s="20"/>
      <c r="AG2" s="16"/>
      <c r="AH2" s="16"/>
      <c r="AI2" s="16"/>
      <c r="AJ2" s="16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</row>
    <row r="3" ht="16.5" customHeight="1">
      <c r="A3" s="17">
        <v>1.0</v>
      </c>
      <c r="B3" s="30" t="s">
        <v>75</v>
      </c>
      <c r="C3" s="31" t="s">
        <v>76</v>
      </c>
      <c r="D3" s="31" t="s">
        <v>43</v>
      </c>
      <c r="E3" s="30" t="s">
        <v>44</v>
      </c>
      <c r="F3" s="30" t="s">
        <v>77</v>
      </c>
      <c r="G3" s="31" t="s">
        <v>78</v>
      </c>
      <c r="H3" s="31" t="s">
        <v>79</v>
      </c>
      <c r="I3" s="32">
        <v>2.10594027238E11</v>
      </c>
      <c r="J3" s="32">
        <v>9.529076165E9</v>
      </c>
      <c r="K3" s="34" t="s">
        <v>80</v>
      </c>
      <c r="L3" s="35" t="s">
        <v>81</v>
      </c>
      <c r="M3" s="32">
        <v>200000.0</v>
      </c>
      <c r="N3" s="32">
        <v>180000.0</v>
      </c>
      <c r="O3" s="36">
        <v>175000.0</v>
      </c>
      <c r="P3" s="32">
        <v>180000.0</v>
      </c>
      <c r="Q3" s="32">
        <f t="shared" si="1"/>
        <v>0</v>
      </c>
      <c r="R3" s="30" t="s">
        <v>82</v>
      </c>
      <c r="S3" s="31" t="s">
        <v>65</v>
      </c>
      <c r="T3" s="31" t="s">
        <v>83</v>
      </c>
      <c r="U3" s="38" t="s">
        <v>84</v>
      </c>
      <c r="V3" s="35" t="s">
        <v>85</v>
      </c>
      <c r="W3" s="35" t="s">
        <v>86</v>
      </c>
      <c r="X3" s="39">
        <v>125000.0</v>
      </c>
      <c r="Y3" s="35">
        <v>55000.0</v>
      </c>
      <c r="Z3" s="41"/>
      <c r="AA3" s="41"/>
      <c r="AB3" s="42">
        <f t="shared" ref="AB3:AB17" si="2">Q3-Z3-AA3</f>
        <v>0</v>
      </c>
      <c r="AC3" s="42">
        <f t="shared" ref="AC3:AC17" si="3">P3-X3-Y3</f>
        <v>0</v>
      </c>
      <c r="AD3" s="42">
        <f t="shared" ref="AD3:AD17" si="4">AE3-AC3</f>
        <v>-5000</v>
      </c>
      <c r="AE3" s="42">
        <f t="shared" ref="AE3:AE17" si="5">O3-(X3+Y3+Z3)</f>
        <v>-5000</v>
      </c>
      <c r="AF3" s="42">
        <f t="shared" ref="AF3:AF17" si="6">X3+Y3+Z3+AA3</f>
        <v>180000</v>
      </c>
      <c r="AG3" s="37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</row>
    <row r="4">
      <c r="A4" s="17">
        <v>2.0</v>
      </c>
      <c r="B4" s="30" t="s">
        <v>102</v>
      </c>
      <c r="C4" s="31" t="s">
        <v>103</v>
      </c>
      <c r="D4" s="31" t="s">
        <v>104</v>
      </c>
      <c r="E4" s="30" t="s">
        <v>44</v>
      </c>
      <c r="F4" s="31"/>
      <c r="G4" s="31" t="s">
        <v>105</v>
      </c>
      <c r="H4" s="31" t="s">
        <v>106</v>
      </c>
      <c r="I4" s="32">
        <v>2.10413009576E11</v>
      </c>
      <c r="J4" s="30">
        <v>9.829776972E9</v>
      </c>
      <c r="K4" s="31" t="s">
        <v>107</v>
      </c>
      <c r="L4" s="41"/>
      <c r="M4" s="32">
        <v>250000.0</v>
      </c>
      <c r="N4" s="32">
        <v>250000.0</v>
      </c>
      <c r="O4" s="36">
        <v>245000.0</v>
      </c>
      <c r="P4" s="32">
        <v>0.0</v>
      </c>
      <c r="Q4" s="32">
        <f t="shared" si="1"/>
        <v>250000</v>
      </c>
      <c r="R4" s="30" t="s">
        <v>82</v>
      </c>
      <c r="S4" s="31" t="s">
        <v>65</v>
      </c>
      <c r="T4" s="31" t="s">
        <v>74</v>
      </c>
      <c r="U4" s="38" t="s">
        <v>84</v>
      </c>
      <c r="V4" s="35" t="s">
        <v>85</v>
      </c>
      <c r="W4" s="35" t="s">
        <v>109</v>
      </c>
      <c r="X4" s="35">
        <v>0.0</v>
      </c>
      <c r="Y4" s="35">
        <v>0.0</v>
      </c>
      <c r="Z4" s="35">
        <f>40000+40000+50000+40000+10000+50000</f>
        <v>230000</v>
      </c>
      <c r="AA4" s="35">
        <v>20000.0</v>
      </c>
      <c r="AB4" s="42">
        <f t="shared" si="2"/>
        <v>0</v>
      </c>
      <c r="AC4" s="42">
        <f t="shared" si="3"/>
        <v>0</v>
      </c>
      <c r="AD4" s="42">
        <f t="shared" si="4"/>
        <v>15000</v>
      </c>
      <c r="AE4" s="42">
        <f t="shared" si="5"/>
        <v>15000</v>
      </c>
      <c r="AF4" s="42">
        <f t="shared" si="6"/>
        <v>250000</v>
      </c>
      <c r="AG4" s="37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</row>
    <row r="5">
      <c r="A5" s="17">
        <v>3.0</v>
      </c>
      <c r="B5" s="46" t="s">
        <v>117</v>
      </c>
      <c r="C5" s="31" t="s">
        <v>118</v>
      </c>
      <c r="D5" s="31" t="s">
        <v>104</v>
      </c>
      <c r="E5" s="30" t="s">
        <v>58</v>
      </c>
      <c r="F5" s="31"/>
      <c r="G5" s="31" t="s">
        <v>119</v>
      </c>
      <c r="H5" s="31" t="s">
        <v>119</v>
      </c>
      <c r="I5" s="39">
        <v>2.11463034631E11</v>
      </c>
      <c r="J5" s="39">
        <v>9.468741041E9</v>
      </c>
      <c r="K5" s="41" t="s">
        <v>120</v>
      </c>
      <c r="L5" s="35" t="s">
        <v>121</v>
      </c>
      <c r="M5" s="32">
        <v>285000.0</v>
      </c>
      <c r="N5" s="35">
        <v>280000.0</v>
      </c>
      <c r="O5" s="35">
        <v>255000.0</v>
      </c>
      <c r="P5" s="32">
        <v>0.0</v>
      </c>
      <c r="Q5" s="32">
        <f t="shared" si="1"/>
        <v>280000</v>
      </c>
      <c r="R5" s="30" t="s">
        <v>82</v>
      </c>
      <c r="S5" s="31" t="s">
        <v>65</v>
      </c>
      <c r="T5" s="31" t="s">
        <v>74</v>
      </c>
      <c r="U5" s="38" t="s">
        <v>84</v>
      </c>
      <c r="V5" s="35" t="s">
        <v>85</v>
      </c>
      <c r="W5" s="35" t="s">
        <v>125</v>
      </c>
      <c r="X5" s="35">
        <v>0.0</v>
      </c>
      <c r="Y5" s="35">
        <v>0.0</v>
      </c>
      <c r="Z5" s="35">
        <f>165000+78000</f>
        <v>243000</v>
      </c>
      <c r="AA5" s="35">
        <v>20000.0</v>
      </c>
      <c r="AB5" s="42">
        <f t="shared" si="2"/>
        <v>17000</v>
      </c>
      <c r="AC5" s="42">
        <f t="shared" si="3"/>
        <v>0</v>
      </c>
      <c r="AD5" s="42">
        <f t="shared" si="4"/>
        <v>12000</v>
      </c>
      <c r="AE5" s="42">
        <f t="shared" si="5"/>
        <v>12000</v>
      </c>
      <c r="AF5" s="42">
        <f t="shared" si="6"/>
        <v>263000</v>
      </c>
      <c r="AG5" s="37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</row>
    <row r="6">
      <c r="A6" s="17">
        <v>4.0</v>
      </c>
      <c r="B6" s="30" t="s">
        <v>102</v>
      </c>
      <c r="C6" s="31" t="s">
        <v>138</v>
      </c>
      <c r="D6" s="31" t="s">
        <v>139</v>
      </c>
      <c r="E6" s="30" t="s">
        <v>44</v>
      </c>
      <c r="F6" s="30" t="s">
        <v>77</v>
      </c>
      <c r="G6" s="31" t="s">
        <v>140</v>
      </c>
      <c r="H6" s="31" t="s">
        <v>46</v>
      </c>
      <c r="I6" s="32">
        <v>2.10454028738E11</v>
      </c>
      <c r="J6" s="39">
        <v>9.63693873E9</v>
      </c>
      <c r="K6" s="31" t="s">
        <v>141</v>
      </c>
      <c r="L6" s="41" t="s">
        <v>142</v>
      </c>
      <c r="M6" s="32">
        <v>225000.0</v>
      </c>
      <c r="N6" s="36">
        <v>200000.0</v>
      </c>
      <c r="O6" s="36">
        <v>200000.0</v>
      </c>
      <c r="P6" s="36">
        <v>190000.0</v>
      </c>
      <c r="Q6" s="32">
        <f t="shared" si="1"/>
        <v>10000</v>
      </c>
      <c r="R6" s="30" t="s">
        <v>82</v>
      </c>
      <c r="S6" s="31" t="s">
        <v>65</v>
      </c>
      <c r="T6" s="31" t="s">
        <v>83</v>
      </c>
      <c r="U6" s="38" t="s">
        <v>84</v>
      </c>
      <c r="V6" s="35" t="s">
        <v>85</v>
      </c>
      <c r="W6" s="35" t="s">
        <v>125</v>
      </c>
      <c r="X6" s="35">
        <v>120000.0</v>
      </c>
      <c r="Y6" s="35">
        <v>70000.0</v>
      </c>
      <c r="Z6" s="41"/>
      <c r="AA6" s="41"/>
      <c r="AB6" s="42">
        <f t="shared" si="2"/>
        <v>10000</v>
      </c>
      <c r="AC6" s="42">
        <f t="shared" si="3"/>
        <v>0</v>
      </c>
      <c r="AD6" s="42">
        <f t="shared" si="4"/>
        <v>10000</v>
      </c>
      <c r="AE6" s="42">
        <f t="shared" si="5"/>
        <v>10000</v>
      </c>
      <c r="AF6" s="42">
        <f t="shared" si="6"/>
        <v>190000</v>
      </c>
      <c r="AG6" s="37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</row>
    <row r="7">
      <c r="A7" s="17">
        <v>5.0</v>
      </c>
      <c r="B7" s="38" t="s">
        <v>102</v>
      </c>
      <c r="C7" s="38" t="s">
        <v>147</v>
      </c>
      <c r="D7" s="38" t="s">
        <v>104</v>
      </c>
      <c r="E7" s="38" t="s">
        <v>58</v>
      </c>
      <c r="F7" s="38" t="s">
        <v>77</v>
      </c>
      <c r="G7" s="38" t="s">
        <v>105</v>
      </c>
      <c r="H7" s="38" t="s">
        <v>106</v>
      </c>
      <c r="I7" s="38">
        <v>2.10413076509E11</v>
      </c>
      <c r="J7" s="38">
        <v>8.239019052E9</v>
      </c>
      <c r="K7" s="38" t="s">
        <v>149</v>
      </c>
      <c r="L7" s="38" t="s">
        <v>150</v>
      </c>
      <c r="M7" s="38">
        <v>225000.0</v>
      </c>
      <c r="N7" s="38">
        <v>280000.0</v>
      </c>
      <c r="O7" s="38">
        <v>255000.0</v>
      </c>
      <c r="P7" s="38">
        <v>200000.0</v>
      </c>
      <c r="Q7" s="32">
        <f t="shared" si="1"/>
        <v>80000</v>
      </c>
      <c r="R7" s="30" t="s">
        <v>82</v>
      </c>
      <c r="S7" s="30" t="s">
        <v>69</v>
      </c>
      <c r="T7" s="30" t="s">
        <v>83</v>
      </c>
      <c r="U7" s="38" t="s">
        <v>84</v>
      </c>
      <c r="V7" s="35" t="s">
        <v>85</v>
      </c>
      <c r="W7" s="35" t="s">
        <v>125</v>
      </c>
      <c r="X7" s="38">
        <v>140000.0</v>
      </c>
      <c r="Y7" s="38">
        <v>60000.0</v>
      </c>
      <c r="Z7" s="38">
        <v>20000.0</v>
      </c>
      <c r="AA7" s="42"/>
      <c r="AB7" s="42">
        <f t="shared" si="2"/>
        <v>60000</v>
      </c>
      <c r="AC7" s="42">
        <f t="shared" si="3"/>
        <v>0</v>
      </c>
      <c r="AD7" s="42">
        <f t="shared" si="4"/>
        <v>35000</v>
      </c>
      <c r="AE7" s="42">
        <f t="shared" si="5"/>
        <v>35000</v>
      </c>
      <c r="AF7" s="42">
        <f t="shared" si="6"/>
        <v>220000</v>
      </c>
    </row>
    <row r="8">
      <c r="A8" s="17">
        <v>6.0</v>
      </c>
      <c r="B8" s="38" t="s">
        <v>102</v>
      </c>
      <c r="C8" s="38" t="s">
        <v>155</v>
      </c>
      <c r="D8" s="38" t="s">
        <v>43</v>
      </c>
      <c r="E8" s="38" t="s">
        <v>156</v>
      </c>
      <c r="F8" s="38" t="s">
        <v>77</v>
      </c>
      <c r="G8" s="38" t="s">
        <v>105</v>
      </c>
      <c r="H8" s="38" t="s">
        <v>106</v>
      </c>
      <c r="I8" s="38">
        <v>2.1041305635E11</v>
      </c>
      <c r="J8" s="38">
        <v>9.549557237E9</v>
      </c>
      <c r="K8" s="38" t="s">
        <v>157</v>
      </c>
      <c r="L8" s="38" t="s">
        <v>158</v>
      </c>
      <c r="M8" s="38">
        <v>225000.0</v>
      </c>
      <c r="N8" s="38">
        <v>200000.0</v>
      </c>
      <c r="O8" s="38">
        <v>158894.0</v>
      </c>
      <c r="P8" s="38">
        <v>200000.0</v>
      </c>
      <c r="Q8" s="32">
        <f t="shared" si="1"/>
        <v>0</v>
      </c>
      <c r="R8" s="30" t="s">
        <v>82</v>
      </c>
      <c r="S8" s="30" t="s">
        <v>65</v>
      </c>
      <c r="T8" s="30" t="s">
        <v>83</v>
      </c>
      <c r="U8" s="38" t="s">
        <v>84</v>
      </c>
      <c r="V8" s="35" t="s">
        <v>85</v>
      </c>
      <c r="W8" s="35" t="s">
        <v>86</v>
      </c>
      <c r="X8" s="38">
        <v>140000.0</v>
      </c>
      <c r="Y8" s="38">
        <v>54000.0</v>
      </c>
      <c r="Z8" s="38">
        <v>18894.0</v>
      </c>
      <c r="AA8" s="42"/>
      <c r="AB8" s="42">
        <f t="shared" si="2"/>
        <v>-18894</v>
      </c>
      <c r="AC8" s="42">
        <f t="shared" si="3"/>
        <v>6000</v>
      </c>
      <c r="AD8" s="42">
        <f t="shared" si="4"/>
        <v>-60000</v>
      </c>
      <c r="AE8" s="42">
        <f t="shared" si="5"/>
        <v>-54000</v>
      </c>
      <c r="AF8" s="42">
        <f t="shared" si="6"/>
        <v>212894</v>
      </c>
    </row>
    <row r="9">
      <c r="A9" s="17">
        <v>7.0</v>
      </c>
      <c r="B9" s="38" t="s">
        <v>170</v>
      </c>
      <c r="C9" s="38" t="s">
        <v>172</v>
      </c>
      <c r="D9" s="38" t="s">
        <v>132</v>
      </c>
      <c r="E9" s="38" t="s">
        <v>156</v>
      </c>
      <c r="F9" s="38" t="s">
        <v>77</v>
      </c>
      <c r="G9" s="38" t="s">
        <v>105</v>
      </c>
      <c r="H9" s="38" t="s">
        <v>106</v>
      </c>
      <c r="I9" s="38">
        <v>2.10413030461E11</v>
      </c>
      <c r="J9" s="38">
        <v>9.829301102E9</v>
      </c>
      <c r="K9" s="38" t="s">
        <v>173</v>
      </c>
      <c r="L9" s="38" t="s">
        <v>174</v>
      </c>
      <c r="M9" s="38">
        <v>200000.0</v>
      </c>
      <c r="N9" s="38">
        <v>180000.0</v>
      </c>
      <c r="O9" s="42"/>
      <c r="P9" s="38">
        <v>180000.0</v>
      </c>
      <c r="Q9" s="32">
        <f t="shared" si="1"/>
        <v>0</v>
      </c>
      <c r="R9" s="30" t="s">
        <v>82</v>
      </c>
      <c r="S9" s="30" t="s">
        <v>65</v>
      </c>
      <c r="T9" s="30" t="s">
        <v>83</v>
      </c>
      <c r="U9" s="38"/>
      <c r="V9" s="35" t="s">
        <v>175</v>
      </c>
      <c r="W9" s="35" t="s">
        <v>176</v>
      </c>
      <c r="X9" s="38">
        <v>126000.0</v>
      </c>
      <c r="Y9" s="42"/>
      <c r="Z9" s="42"/>
      <c r="AA9" s="42"/>
      <c r="AB9" s="42">
        <f t="shared" si="2"/>
        <v>0</v>
      </c>
      <c r="AC9" s="42">
        <f t="shared" si="3"/>
        <v>54000</v>
      </c>
      <c r="AD9" s="42">
        <f t="shared" si="4"/>
        <v>-180000</v>
      </c>
      <c r="AE9" s="42">
        <f t="shared" si="5"/>
        <v>-126000</v>
      </c>
      <c r="AF9" s="42">
        <f t="shared" si="6"/>
        <v>126000</v>
      </c>
      <c r="AG9" s="45"/>
      <c r="AH9" s="45"/>
      <c r="AI9" s="45"/>
      <c r="AJ9" s="45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</row>
    <row r="10">
      <c r="A10" s="17">
        <v>8.0</v>
      </c>
      <c r="B10" s="51" t="s">
        <v>182</v>
      </c>
      <c r="C10" s="51" t="s">
        <v>185</v>
      </c>
      <c r="D10" s="51" t="s">
        <v>104</v>
      </c>
      <c r="E10" s="51" t="s">
        <v>58</v>
      </c>
      <c r="I10" s="51">
        <v>2.11534053695E11</v>
      </c>
      <c r="Q10" s="52">
        <f t="shared" si="1"/>
        <v>0</v>
      </c>
      <c r="R10" s="53" t="s">
        <v>66</v>
      </c>
      <c r="S10" s="53" t="s">
        <v>69</v>
      </c>
      <c r="T10" s="53" t="s">
        <v>71</v>
      </c>
      <c r="U10" s="51" t="s">
        <v>68</v>
      </c>
      <c r="V10" s="16" t="s">
        <v>70</v>
      </c>
      <c r="W10" s="54" t="s">
        <v>72</v>
      </c>
      <c r="AB10" s="45">
        <f t="shared" si="2"/>
        <v>0</v>
      </c>
      <c r="AC10" s="45">
        <f t="shared" si="3"/>
        <v>0</v>
      </c>
      <c r="AD10" s="45">
        <f t="shared" si="4"/>
        <v>0</v>
      </c>
      <c r="AE10" s="45">
        <f t="shared" si="5"/>
        <v>0</v>
      </c>
      <c r="AF10" s="45">
        <f t="shared" si="6"/>
        <v>0</v>
      </c>
      <c r="AG10" s="45"/>
    </row>
    <row r="11">
      <c r="A11" s="51">
        <v>9.0</v>
      </c>
      <c r="B11" s="51" t="s">
        <v>189</v>
      </c>
      <c r="C11" s="51" t="s">
        <v>190</v>
      </c>
      <c r="D11" s="51" t="s">
        <v>43</v>
      </c>
      <c r="E11" s="51" t="s">
        <v>44</v>
      </c>
      <c r="F11" s="51" t="s">
        <v>191</v>
      </c>
      <c r="G11" s="51" t="s">
        <v>192</v>
      </c>
      <c r="H11" s="51" t="s">
        <v>192</v>
      </c>
      <c r="I11" s="51">
        <v>2.11534058665E11</v>
      </c>
      <c r="J11" s="51">
        <v>8.947876609E9</v>
      </c>
      <c r="L11" s="51" t="s">
        <v>193</v>
      </c>
      <c r="M11" s="51">
        <v>200000.0</v>
      </c>
      <c r="N11" s="51">
        <v>180000.0</v>
      </c>
      <c r="P11" s="51">
        <v>180000.0</v>
      </c>
      <c r="Q11" s="52">
        <f t="shared" si="1"/>
        <v>0</v>
      </c>
      <c r="R11" s="53" t="s">
        <v>66</v>
      </c>
      <c r="S11" s="53" t="s">
        <v>69</v>
      </c>
      <c r="T11" s="53" t="s">
        <v>71</v>
      </c>
      <c r="U11" s="51" t="s">
        <v>194</v>
      </c>
      <c r="V11" s="16" t="s">
        <v>70</v>
      </c>
      <c r="W11" s="54" t="s">
        <v>72</v>
      </c>
      <c r="AB11" s="45">
        <f t="shared" si="2"/>
        <v>0</v>
      </c>
      <c r="AC11" s="45">
        <f t="shared" si="3"/>
        <v>180000</v>
      </c>
      <c r="AD11" s="45">
        <f t="shared" si="4"/>
        <v>-180000</v>
      </c>
      <c r="AE11" s="45">
        <f t="shared" si="5"/>
        <v>0</v>
      </c>
      <c r="AF11" s="45">
        <f t="shared" si="6"/>
        <v>0</v>
      </c>
      <c r="AG11" s="45"/>
    </row>
    <row r="12">
      <c r="Q12" s="52">
        <f t="shared" si="1"/>
        <v>0</v>
      </c>
      <c r="R12" s="53" t="s">
        <v>66</v>
      </c>
      <c r="S12" s="53" t="s">
        <v>69</v>
      </c>
      <c r="T12" s="53" t="s">
        <v>71</v>
      </c>
      <c r="U12" s="51" t="s">
        <v>194</v>
      </c>
      <c r="V12" s="16" t="s">
        <v>70</v>
      </c>
      <c r="W12" s="54" t="s">
        <v>72</v>
      </c>
      <c r="AB12" s="45">
        <f t="shared" si="2"/>
        <v>0</v>
      </c>
      <c r="AC12" s="45">
        <f t="shared" si="3"/>
        <v>0</v>
      </c>
      <c r="AD12" s="45">
        <f t="shared" si="4"/>
        <v>0</v>
      </c>
      <c r="AE12" s="45">
        <f t="shared" si="5"/>
        <v>0</v>
      </c>
      <c r="AF12" s="45">
        <f t="shared" si="6"/>
        <v>0</v>
      </c>
      <c r="AG12" s="45"/>
    </row>
    <row r="13">
      <c r="Q13" s="52">
        <f t="shared" si="1"/>
        <v>0</v>
      </c>
      <c r="R13" s="53" t="s">
        <v>66</v>
      </c>
      <c r="S13" s="53" t="s">
        <v>69</v>
      </c>
      <c r="T13" s="53" t="s">
        <v>71</v>
      </c>
      <c r="U13" s="51" t="s">
        <v>194</v>
      </c>
      <c r="V13" s="16" t="s">
        <v>70</v>
      </c>
      <c r="W13" s="54" t="s">
        <v>72</v>
      </c>
      <c r="AB13" s="45">
        <f t="shared" si="2"/>
        <v>0</v>
      </c>
      <c r="AC13" s="45">
        <f t="shared" si="3"/>
        <v>0</v>
      </c>
      <c r="AD13" s="45">
        <f t="shared" si="4"/>
        <v>0</v>
      </c>
      <c r="AE13" s="45">
        <f t="shared" si="5"/>
        <v>0</v>
      </c>
      <c r="AF13" s="45">
        <f t="shared" si="6"/>
        <v>0</v>
      </c>
      <c r="AG13" s="45"/>
    </row>
    <row r="14">
      <c r="Q14" s="52">
        <f t="shared" si="1"/>
        <v>0</v>
      </c>
      <c r="R14" s="53" t="s">
        <v>66</v>
      </c>
      <c r="S14" s="53" t="s">
        <v>69</v>
      </c>
      <c r="T14" s="53" t="s">
        <v>71</v>
      </c>
      <c r="U14" s="51" t="s">
        <v>194</v>
      </c>
      <c r="V14" s="16" t="s">
        <v>70</v>
      </c>
      <c r="W14" s="54" t="s">
        <v>72</v>
      </c>
      <c r="AB14" s="45">
        <f t="shared" si="2"/>
        <v>0</v>
      </c>
      <c r="AC14" s="45">
        <f t="shared" si="3"/>
        <v>0</v>
      </c>
      <c r="AD14" s="45">
        <f t="shared" si="4"/>
        <v>0</v>
      </c>
      <c r="AE14" s="45">
        <f t="shared" si="5"/>
        <v>0</v>
      </c>
      <c r="AF14" s="45">
        <f t="shared" si="6"/>
        <v>0</v>
      </c>
      <c r="AG14" s="45"/>
    </row>
    <row r="15">
      <c r="Q15" s="52">
        <f t="shared" si="1"/>
        <v>0</v>
      </c>
      <c r="R15" s="53" t="s">
        <v>66</v>
      </c>
      <c r="S15" s="53" t="s">
        <v>69</v>
      </c>
      <c r="T15" s="53" t="s">
        <v>71</v>
      </c>
      <c r="U15" s="51" t="s">
        <v>194</v>
      </c>
      <c r="V15" s="16" t="s">
        <v>70</v>
      </c>
      <c r="W15" s="54" t="s">
        <v>72</v>
      </c>
      <c r="AB15" s="45">
        <f t="shared" si="2"/>
        <v>0</v>
      </c>
      <c r="AC15" s="45">
        <f t="shared" si="3"/>
        <v>0</v>
      </c>
      <c r="AD15" s="45">
        <f t="shared" si="4"/>
        <v>0</v>
      </c>
      <c r="AE15" s="45">
        <f t="shared" si="5"/>
        <v>0</v>
      </c>
      <c r="AF15" s="45">
        <f t="shared" si="6"/>
        <v>0</v>
      </c>
      <c r="AG15" s="45"/>
    </row>
    <row r="16">
      <c r="Q16" s="52">
        <f t="shared" si="1"/>
        <v>0</v>
      </c>
      <c r="R16" s="53" t="s">
        <v>66</v>
      </c>
      <c r="S16" s="53" t="s">
        <v>69</v>
      </c>
      <c r="T16" s="53" t="s">
        <v>71</v>
      </c>
      <c r="U16" s="51" t="s">
        <v>194</v>
      </c>
      <c r="V16" s="16" t="s">
        <v>70</v>
      </c>
      <c r="W16" s="54" t="s">
        <v>72</v>
      </c>
      <c r="AB16" s="45">
        <f t="shared" si="2"/>
        <v>0</v>
      </c>
      <c r="AC16" s="45">
        <f t="shared" si="3"/>
        <v>0</v>
      </c>
      <c r="AD16" s="45">
        <f t="shared" si="4"/>
        <v>0</v>
      </c>
      <c r="AE16" s="45">
        <f t="shared" si="5"/>
        <v>0</v>
      </c>
      <c r="AF16" s="45">
        <f t="shared" si="6"/>
        <v>0</v>
      </c>
      <c r="AG16" s="45"/>
    </row>
    <row r="17">
      <c r="Q17" s="52">
        <f t="shared" si="1"/>
        <v>0</v>
      </c>
      <c r="R17" s="53" t="s">
        <v>66</v>
      </c>
      <c r="S17" s="53" t="s">
        <v>69</v>
      </c>
      <c r="T17" s="53" t="s">
        <v>71</v>
      </c>
      <c r="U17" s="51" t="s">
        <v>194</v>
      </c>
      <c r="V17" s="16" t="s">
        <v>70</v>
      </c>
      <c r="W17" s="54" t="s">
        <v>72</v>
      </c>
      <c r="AB17" s="45">
        <f t="shared" si="2"/>
        <v>0</v>
      </c>
      <c r="AC17" s="45">
        <f t="shared" si="3"/>
        <v>0</v>
      </c>
      <c r="AD17" s="45">
        <f t="shared" si="4"/>
        <v>0</v>
      </c>
      <c r="AE17" s="45">
        <f t="shared" si="5"/>
        <v>0</v>
      </c>
      <c r="AF17" s="45">
        <f t="shared" si="6"/>
        <v>0</v>
      </c>
      <c r="AG17" s="45"/>
    </row>
    <row r="18">
      <c r="Q18" s="52"/>
      <c r="R18" s="53"/>
      <c r="S18" s="53"/>
      <c r="T18" s="53"/>
      <c r="U18" s="54"/>
      <c r="V18" s="16"/>
      <c r="W18" s="16"/>
      <c r="AB18" s="45"/>
      <c r="AC18" s="45"/>
      <c r="AD18" s="45"/>
      <c r="AE18" s="45"/>
      <c r="AF18" s="45"/>
      <c r="AG18" s="45"/>
    </row>
    <row r="19">
      <c r="Q19" s="52"/>
      <c r="R19" s="53"/>
      <c r="S19" s="53"/>
      <c r="T19" s="53"/>
      <c r="U19" s="54"/>
      <c r="V19" s="16"/>
      <c r="W19" s="16"/>
      <c r="AB19" s="45"/>
      <c r="AC19" s="45"/>
      <c r="AD19" s="45"/>
      <c r="AE19" s="45"/>
      <c r="AF19" s="45"/>
      <c r="AG19" s="45"/>
    </row>
    <row r="20">
      <c r="R20" s="53"/>
      <c r="S20" s="53"/>
      <c r="T20" s="53"/>
      <c r="U20" s="16"/>
      <c r="V20" s="16"/>
      <c r="W20" s="16"/>
      <c r="AF20" s="59"/>
    </row>
    <row r="21">
      <c r="R21" s="53"/>
      <c r="S21" s="53"/>
      <c r="T21" s="53"/>
      <c r="U21" s="16"/>
      <c r="V21" s="16"/>
      <c r="W21" s="16"/>
      <c r="AF21" s="59"/>
    </row>
    <row r="22">
      <c r="R22" s="53"/>
      <c r="S22" s="53"/>
      <c r="T22" s="53"/>
      <c r="U22" s="16"/>
      <c r="V22" s="16"/>
      <c r="W22" s="16"/>
      <c r="AF22" s="59"/>
    </row>
    <row r="23">
      <c r="R23" s="53"/>
      <c r="S23" s="53"/>
      <c r="T23" s="53"/>
      <c r="U23" s="16"/>
      <c r="V23" s="16"/>
      <c r="W23" s="16"/>
      <c r="AF23" s="59"/>
    </row>
    <row r="24">
      <c r="R24" s="53"/>
      <c r="S24" s="53"/>
      <c r="T24" s="53"/>
      <c r="U24" s="16"/>
      <c r="V24" s="16"/>
      <c r="W24" s="16"/>
      <c r="AF24" s="59"/>
    </row>
    <row r="25">
      <c r="R25" s="53"/>
      <c r="S25" s="53"/>
      <c r="T25" s="53"/>
      <c r="U25" s="16"/>
      <c r="V25" s="16"/>
      <c r="W25" s="16"/>
      <c r="AF25" s="59"/>
    </row>
    <row r="26">
      <c r="R26" s="53"/>
      <c r="S26" s="53"/>
      <c r="T26" s="61"/>
      <c r="U26" s="16"/>
      <c r="V26" s="16"/>
      <c r="W26" s="16"/>
      <c r="AF26" s="59"/>
    </row>
    <row r="27">
      <c r="R27" s="53"/>
      <c r="S27" s="53"/>
      <c r="T27" s="61"/>
      <c r="U27" s="16"/>
      <c r="V27" s="16"/>
      <c r="W27" s="16"/>
      <c r="AF27" s="59"/>
    </row>
    <row r="28">
      <c r="R28" s="53"/>
      <c r="S28" s="53"/>
      <c r="T28" s="61"/>
      <c r="U28" s="16"/>
      <c r="V28" s="16"/>
      <c r="W28" s="16"/>
      <c r="AF28" s="59"/>
    </row>
    <row r="29">
      <c r="S29" s="53"/>
      <c r="AF29" s="59"/>
    </row>
    <row r="30">
      <c r="S30" s="53"/>
      <c r="AF30" s="59"/>
    </row>
    <row r="31">
      <c r="AF31" s="59"/>
    </row>
    <row r="32">
      <c r="AF32" s="59"/>
    </row>
    <row r="33">
      <c r="AF33" s="59"/>
    </row>
    <row r="34">
      <c r="AF34" s="59"/>
    </row>
    <row r="35">
      <c r="AF35" s="59"/>
    </row>
    <row r="36">
      <c r="AF36" s="59"/>
    </row>
    <row r="37">
      <c r="AF37" s="59"/>
    </row>
    <row r="38">
      <c r="AF38" s="59"/>
    </row>
    <row r="39">
      <c r="AF39" s="45"/>
    </row>
    <row r="40">
      <c r="AF40" s="45"/>
    </row>
    <row r="41">
      <c r="AF41" s="45"/>
    </row>
    <row r="42">
      <c r="AF42" s="45"/>
    </row>
    <row r="43">
      <c r="AF43" s="45"/>
    </row>
    <row r="44">
      <c r="AF44" s="45"/>
    </row>
    <row r="45">
      <c r="AF45" s="45"/>
    </row>
    <row r="46">
      <c r="AF46" s="45"/>
    </row>
    <row r="47">
      <c r="AF47" s="45"/>
    </row>
    <row r="48">
      <c r="AF48" s="45"/>
    </row>
    <row r="49">
      <c r="AF49" s="45"/>
    </row>
    <row r="50">
      <c r="AF50" s="45"/>
    </row>
    <row r="51">
      <c r="AF51" s="45"/>
    </row>
    <row r="52">
      <c r="AF52" s="45"/>
    </row>
    <row r="53">
      <c r="AF53" s="45"/>
    </row>
    <row r="54">
      <c r="AF54" s="45"/>
    </row>
    <row r="55">
      <c r="AF55" s="45"/>
    </row>
    <row r="56">
      <c r="AF56" s="45"/>
    </row>
    <row r="57">
      <c r="AF57" s="45"/>
    </row>
    <row r="58">
      <c r="AF58" s="45"/>
    </row>
    <row r="59">
      <c r="AF59" s="45"/>
    </row>
    <row r="60">
      <c r="AF60" s="45"/>
    </row>
    <row r="61">
      <c r="AF61" s="45"/>
    </row>
    <row r="62">
      <c r="AF62" s="45"/>
    </row>
    <row r="63">
      <c r="AF63" s="45"/>
    </row>
    <row r="64">
      <c r="AF64" s="45"/>
    </row>
    <row r="65">
      <c r="AF65" s="45"/>
    </row>
    <row r="66">
      <c r="AF66" s="45"/>
    </row>
    <row r="67">
      <c r="AF67" s="45"/>
    </row>
    <row r="68">
      <c r="AF68" s="45"/>
    </row>
    <row r="69">
      <c r="AF69" s="45"/>
    </row>
    <row r="70">
      <c r="AF70" s="45"/>
    </row>
  </sheetData>
  <dataValidations>
    <dataValidation type="list" allowBlank="1" showErrorMessage="1" sqref="U2:U8 U10:U17">
      <formula1>"Work Not Started Yet,Measrument Done,Material &amp; Team Reached,Structure Work,Panel,Inverter pending,Project On Hold,I&amp;C Completed"</formula1>
    </dataValidation>
    <dataValidation type="list" allowBlank="1" showErrorMessage="1" sqref="R2:R17">
      <formula1>"Doc Recieved,File login,COMPLET"</formula1>
    </dataValidation>
    <dataValidation type="list" allowBlank="1" showErrorMessage="1" sqref="T2:T17">
      <formula1>"Loan apply,File prepare,File into bank,Loan approved,Loan Rejected,CASH FILE"</formula1>
    </dataValidation>
    <dataValidation type="list" allowBlank="1" showErrorMessage="1" sqref="V2:V17">
      <formula1>"Pending,Meter &amp; File submit DISCOM,Net Metering,Subsidy apply with site photo,Subsidy granted"</formula1>
    </dataValidation>
    <dataValidation type="list" allowBlank="1" showErrorMessage="1" sqref="W2:W17">
      <formula1>"Cash To Mahi,1st Installment Received,2ns Installment Received,Payment Not Received Yet,Payment Due"</formula1>
    </dataValidation>
    <dataValidation type="list" allowBlank="1" showErrorMessage="1" sqref="S2:S17">
      <formula1>"Center (78K),Both (78 + 17),WITH OUT SUBSIDY"</formula1>
    </dataValidation>
  </dataValidations>
  <hyperlinks>
    <hyperlink r:id="rId1" ref="I1"/>
    <hyperlink r:id="rId2" ref="K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32.25"/>
    <col customWidth="1" min="3" max="3" width="20.63"/>
    <col customWidth="1" min="4" max="4" width="5.13"/>
    <col customWidth="1" min="5" max="5" width="4.25"/>
    <col customWidth="1" min="6" max="6" width="5.38"/>
    <col customWidth="1" min="7" max="7" width="11.25"/>
    <col customWidth="1" min="8" max="8" width="12.88"/>
    <col customWidth="1" min="9" max="9" width="12.13"/>
    <col customWidth="1" min="10" max="10" width="10.25"/>
    <col customWidth="1" min="11" max="11" width="31.75"/>
    <col customWidth="1" min="12" max="12" width="42.88"/>
    <col customWidth="1" min="13" max="13" width="16.75"/>
    <col customWidth="1" min="14" max="14" width="18.25"/>
    <col customWidth="1" min="15" max="16" width="6.5"/>
    <col customWidth="1" min="17" max="17" width="16.0"/>
    <col customWidth="1" min="18" max="18" width="15.38"/>
    <col customWidth="1" min="19" max="19" width="17.0"/>
    <col customWidth="1" min="20" max="20" width="21.5"/>
    <col customWidth="1" min="21" max="21" width="27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8.5"/>
    <col customWidth="1" min="27" max="27" width="21.5"/>
    <col customWidth="1" min="28" max="28" width="15.13"/>
    <col customWidth="1" min="29" max="29" width="21.0"/>
    <col customWidth="1" min="30" max="30" width="8.38"/>
  </cols>
  <sheetData>
    <row r="1">
      <c r="A1" s="1" t="s">
        <v>0</v>
      </c>
      <c r="B1" s="3" t="s">
        <v>2</v>
      </c>
      <c r="C1" s="4" t="s">
        <v>4</v>
      </c>
      <c r="D1" s="4" t="s">
        <v>5</v>
      </c>
      <c r="E1" s="3" t="s">
        <v>6</v>
      </c>
      <c r="F1" s="3" t="s">
        <v>7</v>
      </c>
      <c r="G1" s="4" t="s">
        <v>8</v>
      </c>
      <c r="H1" s="4" t="s">
        <v>10</v>
      </c>
      <c r="I1" s="5" t="s">
        <v>11</v>
      </c>
      <c r="J1" s="4" t="s">
        <v>12</v>
      </c>
      <c r="K1" s="4" t="s">
        <v>13</v>
      </c>
      <c r="L1" s="3" t="s">
        <v>14</v>
      </c>
      <c r="M1" s="3" t="s">
        <v>15</v>
      </c>
      <c r="N1" s="3" t="s">
        <v>23</v>
      </c>
      <c r="O1" s="4" t="s">
        <v>18</v>
      </c>
      <c r="P1" s="3" t="s">
        <v>26</v>
      </c>
      <c r="Q1" s="7" t="s">
        <v>28</v>
      </c>
      <c r="R1" s="7" t="s">
        <v>21</v>
      </c>
      <c r="S1" s="7" t="s">
        <v>22</v>
      </c>
      <c r="T1" s="7" t="s">
        <v>24</v>
      </c>
      <c r="U1" s="10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39</v>
      </c>
      <c r="AA1" s="13" t="s">
        <v>33</v>
      </c>
      <c r="AB1" s="9" t="s">
        <v>36</v>
      </c>
      <c r="AC1" s="9" t="s">
        <v>40</v>
      </c>
      <c r="AD1" s="1" t="s">
        <v>38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>
      <c r="A2" s="51">
        <v>1.0</v>
      </c>
      <c r="B2" s="27" t="s">
        <v>182</v>
      </c>
      <c r="C2" s="27" t="s">
        <v>396</v>
      </c>
      <c r="D2" s="27" t="s">
        <v>104</v>
      </c>
      <c r="E2" s="28"/>
      <c r="F2" s="27"/>
      <c r="G2" s="27" t="s">
        <v>213</v>
      </c>
      <c r="H2" s="27" t="s">
        <v>215</v>
      </c>
      <c r="I2" s="27">
        <v>2.10416034452E11</v>
      </c>
      <c r="J2" s="27">
        <v>9.815614316E9</v>
      </c>
      <c r="K2" s="27" t="s">
        <v>398</v>
      </c>
      <c r="L2" s="28"/>
      <c r="M2" s="28"/>
      <c r="N2" s="28"/>
      <c r="O2" s="28"/>
      <c r="P2" s="28"/>
      <c r="Q2" s="18" t="s">
        <v>66</v>
      </c>
      <c r="R2" s="19" t="s">
        <v>69</v>
      </c>
      <c r="S2" s="19" t="s">
        <v>71</v>
      </c>
      <c r="T2" s="29" t="s">
        <v>68</v>
      </c>
      <c r="U2" s="23" t="s">
        <v>70</v>
      </c>
      <c r="V2" s="20" t="s">
        <v>72</v>
      </c>
      <c r="W2" s="28"/>
      <c r="X2" s="28"/>
      <c r="Y2" s="28"/>
      <c r="Z2" s="28"/>
      <c r="AA2" s="28"/>
      <c r="AB2" s="28"/>
      <c r="AC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</row>
    <row r="3">
      <c r="A3" s="24">
        <v>2.0</v>
      </c>
      <c r="B3" s="27" t="s">
        <v>418</v>
      </c>
      <c r="C3" s="27" t="s">
        <v>419</v>
      </c>
      <c r="D3" s="27" t="s">
        <v>43</v>
      </c>
      <c r="E3" s="27" t="s">
        <v>44</v>
      </c>
      <c r="F3" s="27"/>
      <c r="G3" s="27" t="s">
        <v>92</v>
      </c>
      <c r="H3" s="27" t="s">
        <v>92</v>
      </c>
      <c r="I3" s="27">
        <v>2.11543031438E11</v>
      </c>
      <c r="J3" s="27">
        <v>9.001553194E9</v>
      </c>
      <c r="K3" s="27" t="s">
        <v>420</v>
      </c>
      <c r="L3" s="27" t="s">
        <v>421</v>
      </c>
      <c r="M3" s="28"/>
      <c r="N3" s="27">
        <v>190000.0</v>
      </c>
      <c r="O3" s="28"/>
      <c r="P3" s="23">
        <f t="shared" ref="P3:P22" si="1">N3-O3</f>
        <v>190000</v>
      </c>
      <c r="Q3" s="18" t="s">
        <v>66</v>
      </c>
      <c r="R3" s="19" t="s">
        <v>69</v>
      </c>
      <c r="S3" s="19" t="s">
        <v>71</v>
      </c>
      <c r="T3" s="29" t="s">
        <v>68</v>
      </c>
      <c r="U3" s="23" t="s">
        <v>70</v>
      </c>
      <c r="V3" s="20" t="s">
        <v>72</v>
      </c>
      <c r="W3" s="28"/>
      <c r="X3" s="28"/>
      <c r="Y3" s="28"/>
      <c r="Z3" s="22">
        <f t="shared" ref="Z3:Z22" si="2">O3-W3-X3</f>
        <v>0</v>
      </c>
      <c r="AA3" s="22">
        <f t="shared" ref="AA3:AA22" si="3">P3-Y3</f>
        <v>190000</v>
      </c>
      <c r="AB3" s="22">
        <f t="shared" ref="AB3:AB22" si="4">Z3+AA3</f>
        <v>190000</v>
      </c>
      <c r="AC3" s="22">
        <f t="shared" ref="AC3:AC22" si="5">W3+X3+Y3</f>
        <v>0</v>
      </c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</row>
    <row r="4">
      <c r="A4" s="51">
        <v>8.0</v>
      </c>
      <c r="B4" s="27" t="s">
        <v>430</v>
      </c>
      <c r="C4" s="27" t="s">
        <v>431</v>
      </c>
      <c r="D4" s="27" t="s">
        <v>104</v>
      </c>
      <c r="E4" s="27" t="s">
        <v>44</v>
      </c>
      <c r="F4" s="27" t="s">
        <v>77</v>
      </c>
      <c r="G4" s="28"/>
      <c r="H4" s="27" t="s">
        <v>275</v>
      </c>
      <c r="I4" s="27">
        <v>2.10473018061E11</v>
      </c>
      <c r="J4" s="27">
        <v>8.44106066E9</v>
      </c>
      <c r="K4" s="27" t="s">
        <v>432</v>
      </c>
      <c r="L4" s="27" t="s">
        <v>433</v>
      </c>
      <c r="M4" s="27">
        <v>260000.0</v>
      </c>
      <c r="N4" s="27">
        <v>260000.0</v>
      </c>
      <c r="O4" s="28"/>
      <c r="P4" s="23">
        <f t="shared" si="1"/>
        <v>260000</v>
      </c>
      <c r="Q4" s="18" t="s">
        <v>66</v>
      </c>
      <c r="R4" s="19" t="s">
        <v>69</v>
      </c>
      <c r="S4" s="19" t="s">
        <v>71</v>
      </c>
      <c r="T4" s="29" t="s">
        <v>68</v>
      </c>
      <c r="U4" s="23" t="s">
        <v>70</v>
      </c>
      <c r="V4" s="20" t="s">
        <v>72</v>
      </c>
      <c r="W4" s="28"/>
      <c r="X4" s="28"/>
      <c r="Y4" s="28"/>
      <c r="Z4" s="22">
        <f t="shared" si="2"/>
        <v>0</v>
      </c>
      <c r="AA4" s="22">
        <f t="shared" si="3"/>
        <v>260000</v>
      </c>
      <c r="AB4" s="22">
        <f t="shared" si="4"/>
        <v>260000</v>
      </c>
      <c r="AC4" s="22">
        <f t="shared" si="5"/>
        <v>0</v>
      </c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>
      <c r="A5" s="47">
        <v>5.0</v>
      </c>
      <c r="B5" s="27" t="s">
        <v>439</v>
      </c>
      <c r="C5" s="27" t="s">
        <v>440</v>
      </c>
      <c r="D5" s="27" t="s">
        <v>43</v>
      </c>
      <c r="E5" s="27" t="s">
        <v>44</v>
      </c>
      <c r="F5" s="28"/>
      <c r="G5" s="28"/>
      <c r="H5" s="27" t="s">
        <v>441</v>
      </c>
      <c r="I5" s="27">
        <v>2.11444008828E11</v>
      </c>
      <c r="J5" s="27">
        <v>9.41444315E9</v>
      </c>
      <c r="K5" s="28"/>
      <c r="L5" s="27" t="s">
        <v>442</v>
      </c>
      <c r="M5" s="27">
        <v>200000.0</v>
      </c>
      <c r="N5" s="27">
        <v>180000.0</v>
      </c>
      <c r="O5" s="27">
        <v>180000.0</v>
      </c>
      <c r="P5" s="23">
        <f t="shared" si="1"/>
        <v>0</v>
      </c>
      <c r="Q5" s="18" t="s">
        <v>66</v>
      </c>
      <c r="R5" s="19" t="s">
        <v>69</v>
      </c>
      <c r="S5" s="19" t="s">
        <v>71</v>
      </c>
      <c r="T5" s="29" t="s">
        <v>68</v>
      </c>
      <c r="U5" s="23" t="s">
        <v>70</v>
      </c>
      <c r="V5" s="20" t="s">
        <v>72</v>
      </c>
      <c r="W5" s="28"/>
      <c r="X5" s="28"/>
      <c r="Y5" s="28"/>
      <c r="Z5" s="22">
        <f t="shared" si="2"/>
        <v>180000</v>
      </c>
      <c r="AA5" s="22">
        <f t="shared" si="3"/>
        <v>0</v>
      </c>
      <c r="AB5" s="22">
        <f t="shared" si="4"/>
        <v>180000</v>
      </c>
      <c r="AC5" s="22">
        <f t="shared" si="5"/>
        <v>0</v>
      </c>
      <c r="AD5" s="4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>
      <c r="A6" s="51">
        <v>4.0</v>
      </c>
      <c r="B6" s="27" t="s">
        <v>447</v>
      </c>
      <c r="C6" s="27" t="s">
        <v>448</v>
      </c>
      <c r="D6" s="27" t="s">
        <v>104</v>
      </c>
      <c r="E6" s="27" t="s">
        <v>44</v>
      </c>
      <c r="F6" s="27" t="s">
        <v>312</v>
      </c>
      <c r="G6" s="27" t="s">
        <v>449</v>
      </c>
      <c r="H6" s="27" t="s">
        <v>450</v>
      </c>
      <c r="I6" s="27">
        <v>2.11467008062E11</v>
      </c>
      <c r="J6" s="27">
        <v>9.660209863E9</v>
      </c>
      <c r="K6" s="27" t="s">
        <v>451</v>
      </c>
      <c r="L6" s="27" t="s">
        <v>452</v>
      </c>
      <c r="M6" s="27">
        <v>225000.0</v>
      </c>
      <c r="N6" s="27">
        <v>280000.0</v>
      </c>
      <c r="O6" s="28"/>
      <c r="P6" s="23">
        <f t="shared" si="1"/>
        <v>280000</v>
      </c>
      <c r="Q6" s="18" t="s">
        <v>28</v>
      </c>
      <c r="R6" s="19" t="s">
        <v>69</v>
      </c>
      <c r="S6" s="19" t="s">
        <v>71</v>
      </c>
      <c r="T6" s="29" t="s">
        <v>68</v>
      </c>
      <c r="U6" s="23" t="s">
        <v>70</v>
      </c>
      <c r="V6" s="20" t="s">
        <v>72</v>
      </c>
      <c r="W6" s="28"/>
      <c r="X6" s="28"/>
      <c r="Y6" s="28"/>
      <c r="Z6" s="22">
        <f t="shared" si="2"/>
        <v>0</v>
      </c>
      <c r="AA6" s="22">
        <f t="shared" si="3"/>
        <v>280000</v>
      </c>
      <c r="AB6" s="22">
        <f t="shared" si="4"/>
        <v>280000</v>
      </c>
      <c r="AC6" s="22">
        <f t="shared" si="5"/>
        <v>0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>
      <c r="A7" s="51">
        <v>6.0</v>
      </c>
      <c r="B7" s="27" t="s">
        <v>456</v>
      </c>
      <c r="C7" s="27" t="s">
        <v>457</v>
      </c>
      <c r="D7" s="27" t="s">
        <v>43</v>
      </c>
      <c r="E7" s="27" t="s">
        <v>44</v>
      </c>
      <c r="F7" s="28"/>
      <c r="G7" s="28"/>
      <c r="H7" s="27" t="s">
        <v>458</v>
      </c>
      <c r="I7" s="27">
        <v>2.11528020871E11</v>
      </c>
      <c r="J7" s="27">
        <v>9.602939503E9</v>
      </c>
      <c r="K7" s="27" t="s">
        <v>459</v>
      </c>
      <c r="L7" s="27" t="s">
        <v>460</v>
      </c>
      <c r="M7" s="28"/>
      <c r="N7" s="27">
        <v>185000.0</v>
      </c>
      <c r="O7" s="28"/>
      <c r="P7" s="23">
        <f t="shared" si="1"/>
        <v>185000</v>
      </c>
      <c r="Q7" s="18" t="s">
        <v>28</v>
      </c>
      <c r="R7" s="19" t="s">
        <v>69</v>
      </c>
      <c r="S7" s="19" t="s">
        <v>71</v>
      </c>
      <c r="T7" s="29" t="s">
        <v>68</v>
      </c>
      <c r="U7" s="23" t="s">
        <v>70</v>
      </c>
      <c r="V7" s="20" t="s">
        <v>72</v>
      </c>
      <c r="W7" s="28"/>
      <c r="X7" s="28"/>
      <c r="Y7" s="28"/>
      <c r="Z7" s="22">
        <f t="shared" si="2"/>
        <v>0</v>
      </c>
      <c r="AA7" s="22">
        <f t="shared" si="3"/>
        <v>185000</v>
      </c>
      <c r="AB7" s="22">
        <f t="shared" si="4"/>
        <v>185000</v>
      </c>
      <c r="AC7" s="22">
        <f t="shared" si="5"/>
        <v>0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</row>
    <row r="8">
      <c r="A8" s="51">
        <v>7.0</v>
      </c>
      <c r="B8" s="27" t="s">
        <v>54</v>
      </c>
      <c r="C8" s="27" t="s">
        <v>469</v>
      </c>
      <c r="D8" s="27" t="s">
        <v>104</v>
      </c>
      <c r="E8" s="27" t="s">
        <v>44</v>
      </c>
      <c r="F8" s="28"/>
      <c r="G8" s="28"/>
      <c r="H8" s="27" t="s">
        <v>470</v>
      </c>
      <c r="I8" s="27">
        <v>2.10413057989E11</v>
      </c>
      <c r="J8" s="27">
        <v>9.385393952E9</v>
      </c>
      <c r="K8" s="28"/>
      <c r="L8" s="28"/>
      <c r="M8" s="28"/>
      <c r="N8" s="27">
        <v>230000.0</v>
      </c>
      <c r="O8" s="28"/>
      <c r="P8" s="23">
        <f t="shared" si="1"/>
        <v>230000</v>
      </c>
      <c r="Q8" s="18" t="s">
        <v>66</v>
      </c>
      <c r="R8" s="19" t="s">
        <v>69</v>
      </c>
      <c r="S8" s="19" t="s">
        <v>71</v>
      </c>
      <c r="T8" s="27" t="s">
        <v>68</v>
      </c>
      <c r="U8" s="23" t="s">
        <v>70</v>
      </c>
      <c r="V8" s="20" t="s">
        <v>72</v>
      </c>
      <c r="W8" s="28"/>
      <c r="X8" s="28"/>
      <c r="Y8" s="28"/>
      <c r="Z8" s="22">
        <f t="shared" si="2"/>
        <v>0</v>
      </c>
      <c r="AA8" s="22">
        <f t="shared" si="3"/>
        <v>230000</v>
      </c>
      <c r="AB8" s="22">
        <f t="shared" si="4"/>
        <v>230000</v>
      </c>
      <c r="AC8" s="22">
        <f t="shared" si="5"/>
        <v>0</v>
      </c>
      <c r="AD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</row>
    <row r="9">
      <c r="A9" s="51">
        <v>8.0</v>
      </c>
      <c r="B9" s="27" t="s">
        <v>472</v>
      </c>
      <c r="C9" s="27" t="s">
        <v>473</v>
      </c>
      <c r="D9" s="27" t="s">
        <v>43</v>
      </c>
      <c r="E9" s="27" t="s">
        <v>44</v>
      </c>
      <c r="F9" s="28"/>
      <c r="G9" s="28"/>
      <c r="H9" s="27" t="s">
        <v>470</v>
      </c>
      <c r="I9" s="27">
        <v>2.10413022219E11</v>
      </c>
      <c r="J9" s="27">
        <v>9.414360051E9</v>
      </c>
      <c r="K9" s="27" t="s">
        <v>474</v>
      </c>
      <c r="L9" s="28"/>
      <c r="M9" s="28"/>
      <c r="N9" s="28"/>
      <c r="O9" s="28"/>
      <c r="P9" s="23">
        <f t="shared" si="1"/>
        <v>0</v>
      </c>
      <c r="Q9" s="18" t="s">
        <v>66</v>
      </c>
      <c r="R9" s="19" t="s">
        <v>69</v>
      </c>
      <c r="S9" s="19" t="s">
        <v>71</v>
      </c>
      <c r="T9" s="27" t="s">
        <v>194</v>
      </c>
      <c r="U9" s="23" t="s">
        <v>70</v>
      </c>
      <c r="V9" s="20" t="s">
        <v>72</v>
      </c>
      <c r="W9" s="28"/>
      <c r="X9" s="28"/>
      <c r="Y9" s="28"/>
      <c r="Z9" s="22">
        <f t="shared" si="2"/>
        <v>0</v>
      </c>
      <c r="AA9" s="22">
        <f t="shared" si="3"/>
        <v>0</v>
      </c>
      <c r="AB9" s="22">
        <f t="shared" si="4"/>
        <v>0</v>
      </c>
      <c r="AC9" s="22">
        <f t="shared" si="5"/>
        <v>0</v>
      </c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</row>
    <row r="10">
      <c r="A10" s="51">
        <v>6.0</v>
      </c>
      <c r="B10" s="27" t="s">
        <v>54</v>
      </c>
      <c r="C10" s="27" t="s">
        <v>475</v>
      </c>
      <c r="D10" s="27" t="s">
        <v>274</v>
      </c>
      <c r="E10" s="27" t="s">
        <v>44</v>
      </c>
      <c r="F10" s="28"/>
      <c r="G10" s="28"/>
      <c r="H10" s="27" t="s">
        <v>92</v>
      </c>
      <c r="I10" s="27">
        <v>2.11543017739E11</v>
      </c>
      <c r="J10" s="27">
        <v>9.667092633E9</v>
      </c>
      <c r="K10" s="27" t="s">
        <v>477</v>
      </c>
      <c r="L10" s="27" t="s">
        <v>479</v>
      </c>
      <c r="M10" s="27">
        <v>200000.0</v>
      </c>
      <c r="N10" s="27">
        <v>180000.0</v>
      </c>
      <c r="O10" s="27">
        <v>180000.0</v>
      </c>
      <c r="P10" s="23">
        <f t="shared" si="1"/>
        <v>0</v>
      </c>
      <c r="Q10" s="18" t="s">
        <v>66</v>
      </c>
      <c r="R10" s="19" t="s">
        <v>69</v>
      </c>
      <c r="S10" s="19" t="s">
        <v>71</v>
      </c>
      <c r="T10" s="27" t="s">
        <v>194</v>
      </c>
      <c r="U10" s="23" t="s">
        <v>70</v>
      </c>
      <c r="V10" s="20" t="s">
        <v>72</v>
      </c>
      <c r="W10" s="28"/>
      <c r="X10" s="28"/>
      <c r="Y10" s="28"/>
      <c r="Z10" s="22">
        <f t="shared" si="2"/>
        <v>180000</v>
      </c>
      <c r="AA10" s="22">
        <f t="shared" si="3"/>
        <v>0</v>
      </c>
      <c r="AB10" s="22">
        <f t="shared" si="4"/>
        <v>180000</v>
      </c>
      <c r="AC10" s="22">
        <f t="shared" si="5"/>
        <v>0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</row>
    <row r="11">
      <c r="A11" s="24">
        <v>1.0</v>
      </c>
      <c r="B11" s="51" t="s">
        <v>456</v>
      </c>
      <c r="C11" s="51" t="s">
        <v>484</v>
      </c>
      <c r="D11" s="51" t="s">
        <v>104</v>
      </c>
      <c r="E11" s="51" t="s">
        <v>44</v>
      </c>
      <c r="F11" s="51"/>
      <c r="G11" s="51" t="s">
        <v>92</v>
      </c>
      <c r="H11" s="51" t="s">
        <v>92</v>
      </c>
      <c r="I11" s="51">
        <v>2.11543026446E11</v>
      </c>
      <c r="J11" s="51">
        <v>9.784416781E9</v>
      </c>
      <c r="K11" s="51" t="s">
        <v>485</v>
      </c>
      <c r="P11" s="16">
        <f t="shared" si="1"/>
        <v>0</v>
      </c>
      <c r="Q11" s="53" t="s">
        <v>66</v>
      </c>
      <c r="R11" s="61" t="s">
        <v>69</v>
      </c>
      <c r="S11" s="61" t="s">
        <v>71</v>
      </c>
      <c r="T11" s="51" t="s">
        <v>194</v>
      </c>
      <c r="U11" s="16" t="s">
        <v>70</v>
      </c>
      <c r="V11" s="54" t="s">
        <v>72</v>
      </c>
      <c r="Z11" s="40">
        <f t="shared" si="2"/>
        <v>0</v>
      </c>
      <c r="AA11" s="40">
        <f t="shared" si="3"/>
        <v>0</v>
      </c>
      <c r="AB11" s="40">
        <f t="shared" si="4"/>
        <v>0</v>
      </c>
      <c r="AC11" s="40">
        <f t="shared" si="5"/>
        <v>0</v>
      </c>
    </row>
    <row r="12">
      <c r="A12" s="24">
        <v>2.0</v>
      </c>
      <c r="B12" s="51" t="s">
        <v>41</v>
      </c>
      <c r="C12" s="51" t="s">
        <v>486</v>
      </c>
      <c r="D12" s="51" t="s">
        <v>43</v>
      </c>
      <c r="E12" s="51" t="s">
        <v>44</v>
      </c>
      <c r="F12" s="51" t="s">
        <v>312</v>
      </c>
      <c r="G12" s="51" t="s">
        <v>92</v>
      </c>
      <c r="H12" s="51" t="s">
        <v>92</v>
      </c>
      <c r="I12" s="51">
        <v>2.11543031711E11</v>
      </c>
      <c r="J12" s="51">
        <v>9.887131382E9</v>
      </c>
      <c r="K12" s="51" t="s">
        <v>487</v>
      </c>
      <c r="L12" s="93" t="s">
        <v>488</v>
      </c>
      <c r="M12" s="51">
        <v>211000.0</v>
      </c>
      <c r="N12" s="51">
        <v>190000.0</v>
      </c>
      <c r="O12" s="51">
        <v>189000.0</v>
      </c>
      <c r="P12" s="16">
        <f t="shared" si="1"/>
        <v>1000</v>
      </c>
      <c r="Q12" s="53" t="s">
        <v>28</v>
      </c>
      <c r="R12" s="61" t="s">
        <v>69</v>
      </c>
      <c r="S12" s="53" t="s">
        <v>73</v>
      </c>
      <c r="T12" s="51" t="s">
        <v>194</v>
      </c>
      <c r="U12" s="16" t="s">
        <v>70</v>
      </c>
      <c r="V12" s="54" t="s">
        <v>72</v>
      </c>
      <c r="Z12" s="40">
        <f t="shared" si="2"/>
        <v>189000</v>
      </c>
      <c r="AA12" s="40">
        <f t="shared" si="3"/>
        <v>1000</v>
      </c>
      <c r="AB12" s="40">
        <f t="shared" si="4"/>
        <v>190000</v>
      </c>
      <c r="AC12" s="40">
        <f t="shared" si="5"/>
        <v>0</v>
      </c>
    </row>
    <row r="13">
      <c r="A13" s="51">
        <v>3.0</v>
      </c>
      <c r="B13" s="51" t="s">
        <v>41</v>
      </c>
      <c r="C13" s="51" t="s">
        <v>489</v>
      </c>
      <c r="D13" s="51" t="s">
        <v>372</v>
      </c>
      <c r="E13" s="51" t="s">
        <v>44</v>
      </c>
      <c r="F13" s="51" t="s">
        <v>312</v>
      </c>
      <c r="G13" s="51" t="s">
        <v>134</v>
      </c>
      <c r="H13" s="51" t="s">
        <v>114</v>
      </c>
      <c r="I13" s="51">
        <v>2.11529020427E11</v>
      </c>
      <c r="J13" s="51">
        <v>9.024153918E9</v>
      </c>
      <c r="K13" s="51" t="s">
        <v>492</v>
      </c>
      <c r="L13" s="51" t="s">
        <v>493</v>
      </c>
      <c r="M13" s="51">
        <v>225000.0</v>
      </c>
      <c r="N13" s="51">
        <v>285000.0</v>
      </c>
      <c r="O13" s="51">
        <v>200000.0</v>
      </c>
      <c r="P13" s="16">
        <f t="shared" si="1"/>
        <v>85000</v>
      </c>
      <c r="Q13" s="53" t="s">
        <v>28</v>
      </c>
      <c r="R13" s="61" t="s">
        <v>69</v>
      </c>
      <c r="S13" s="53" t="s">
        <v>73</v>
      </c>
      <c r="T13" s="51" t="s">
        <v>194</v>
      </c>
      <c r="U13" s="16" t="s">
        <v>70</v>
      </c>
      <c r="V13" s="54" t="s">
        <v>72</v>
      </c>
      <c r="Z13" s="40">
        <f t="shared" si="2"/>
        <v>200000</v>
      </c>
      <c r="AA13" s="40">
        <f t="shared" si="3"/>
        <v>85000</v>
      </c>
      <c r="AB13" s="40">
        <f t="shared" si="4"/>
        <v>285000</v>
      </c>
      <c r="AC13" s="40">
        <f t="shared" si="5"/>
        <v>0</v>
      </c>
    </row>
    <row r="14">
      <c r="A14" s="51">
        <v>4.0</v>
      </c>
      <c r="B14" s="86" t="s">
        <v>382</v>
      </c>
      <c r="C14" s="94" t="s">
        <v>496</v>
      </c>
      <c r="D14" s="94" t="s">
        <v>104</v>
      </c>
      <c r="E14" s="94" t="s">
        <v>44</v>
      </c>
      <c r="F14" s="94" t="s">
        <v>77</v>
      </c>
      <c r="G14" s="94" t="s">
        <v>497</v>
      </c>
      <c r="H14" s="94" t="s">
        <v>498</v>
      </c>
      <c r="I14" s="94">
        <v>2.11584063188E11</v>
      </c>
      <c r="J14" s="94">
        <v>9.711666861E9</v>
      </c>
      <c r="K14" s="94" t="s">
        <v>499</v>
      </c>
      <c r="L14" s="95" t="s">
        <v>500</v>
      </c>
      <c r="M14" s="94">
        <v>265000.0</v>
      </c>
      <c r="N14" s="94">
        <v>265000.0</v>
      </c>
      <c r="O14" s="94">
        <v>200000.0</v>
      </c>
      <c r="P14" s="96">
        <f t="shared" si="1"/>
        <v>65000</v>
      </c>
      <c r="Q14" s="97" t="s">
        <v>28</v>
      </c>
      <c r="R14" s="98" t="s">
        <v>69</v>
      </c>
      <c r="S14" s="97" t="s">
        <v>83</v>
      </c>
      <c r="T14" s="94" t="s">
        <v>501</v>
      </c>
      <c r="U14" s="99" t="s">
        <v>175</v>
      </c>
      <c r="V14" s="99" t="s">
        <v>176</v>
      </c>
      <c r="W14" s="94">
        <v>140000.0</v>
      </c>
      <c r="X14" s="91"/>
      <c r="Y14" s="91"/>
      <c r="Z14" s="90">
        <f t="shared" si="2"/>
        <v>60000</v>
      </c>
      <c r="AA14" s="90">
        <f t="shared" si="3"/>
        <v>65000</v>
      </c>
      <c r="AB14" s="90">
        <f t="shared" si="4"/>
        <v>125000</v>
      </c>
      <c r="AC14" s="90">
        <f t="shared" si="5"/>
        <v>140000</v>
      </c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</row>
    <row r="15">
      <c r="A15" s="51">
        <v>5.0</v>
      </c>
      <c r="B15" s="51" t="s">
        <v>506</v>
      </c>
      <c r="C15" s="51" t="s">
        <v>507</v>
      </c>
      <c r="D15" s="51" t="s">
        <v>43</v>
      </c>
      <c r="E15" s="51" t="s">
        <v>44</v>
      </c>
      <c r="H15" s="51" t="s">
        <v>92</v>
      </c>
      <c r="I15" s="51">
        <v>2.1154301604E11</v>
      </c>
      <c r="J15" s="51">
        <v>9.602142643E9</v>
      </c>
      <c r="K15" s="51" t="s">
        <v>508</v>
      </c>
      <c r="P15" s="16">
        <f t="shared" si="1"/>
        <v>0</v>
      </c>
      <c r="Q15" s="53" t="s">
        <v>66</v>
      </c>
      <c r="R15" s="61" t="s">
        <v>69</v>
      </c>
      <c r="S15" s="61" t="s">
        <v>71</v>
      </c>
      <c r="T15" s="51" t="s">
        <v>194</v>
      </c>
      <c r="U15" s="16" t="s">
        <v>70</v>
      </c>
      <c r="V15" s="54" t="s">
        <v>72</v>
      </c>
      <c r="Z15" s="40">
        <f t="shared" si="2"/>
        <v>0</v>
      </c>
      <c r="AA15" s="40">
        <f t="shared" si="3"/>
        <v>0</v>
      </c>
      <c r="AB15" s="40">
        <f t="shared" si="4"/>
        <v>0</v>
      </c>
      <c r="AC15" s="40">
        <f t="shared" si="5"/>
        <v>0</v>
      </c>
    </row>
    <row r="16">
      <c r="A16" s="51">
        <v>6.0</v>
      </c>
      <c r="B16" s="86" t="s">
        <v>20</v>
      </c>
      <c r="C16" s="86" t="s">
        <v>509</v>
      </c>
      <c r="D16" s="86" t="s">
        <v>104</v>
      </c>
      <c r="E16" s="86" t="s">
        <v>58</v>
      </c>
      <c r="F16" s="91"/>
      <c r="G16" s="86" t="s">
        <v>510</v>
      </c>
      <c r="H16" s="86" t="s">
        <v>511</v>
      </c>
      <c r="I16" s="86">
        <v>2.11424033011E11</v>
      </c>
      <c r="J16" s="86">
        <v>8.949396288E9</v>
      </c>
      <c r="K16" s="86" t="s">
        <v>512</v>
      </c>
      <c r="L16" s="86" t="s">
        <v>513</v>
      </c>
      <c r="M16" s="86">
        <v>280000.0</v>
      </c>
      <c r="N16" s="86">
        <v>280000.0</v>
      </c>
      <c r="O16" s="86">
        <v>0.0</v>
      </c>
      <c r="P16" s="83">
        <f t="shared" si="1"/>
        <v>280000</v>
      </c>
      <c r="Q16" s="89" t="s">
        <v>28</v>
      </c>
      <c r="R16" s="88" t="s">
        <v>69</v>
      </c>
      <c r="S16" s="89" t="s">
        <v>74</v>
      </c>
      <c r="T16" s="77" t="s">
        <v>501</v>
      </c>
      <c r="U16" s="82" t="s">
        <v>175</v>
      </c>
      <c r="V16" s="78" t="s">
        <v>125</v>
      </c>
      <c r="W16" s="91"/>
      <c r="X16" s="91"/>
      <c r="Y16" s="86">
        <v>25000.0</v>
      </c>
      <c r="Z16" s="90">
        <f t="shared" si="2"/>
        <v>0</v>
      </c>
      <c r="AA16" s="90">
        <f t="shared" si="3"/>
        <v>255000</v>
      </c>
      <c r="AB16" s="90">
        <f t="shared" si="4"/>
        <v>255000</v>
      </c>
      <c r="AC16" s="90">
        <f t="shared" si="5"/>
        <v>25000</v>
      </c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</row>
    <row r="17">
      <c r="A17" s="51">
        <v>7.0</v>
      </c>
      <c r="B17" s="86" t="s">
        <v>20</v>
      </c>
      <c r="C17" s="86" t="s">
        <v>514</v>
      </c>
      <c r="D17" s="86" t="s">
        <v>132</v>
      </c>
      <c r="E17" s="86" t="s">
        <v>58</v>
      </c>
      <c r="F17" s="91"/>
      <c r="G17" s="86" t="s">
        <v>510</v>
      </c>
      <c r="H17" s="86" t="s">
        <v>511</v>
      </c>
      <c r="I17" s="86">
        <v>2.11424001098E11</v>
      </c>
      <c r="J17" s="86">
        <v>9.784063533E9</v>
      </c>
      <c r="K17" s="86" t="s">
        <v>516</v>
      </c>
      <c r="L17" s="86" t="s">
        <v>513</v>
      </c>
      <c r="M17" s="86">
        <v>200000.0</v>
      </c>
      <c r="N17" s="86">
        <v>200000.0</v>
      </c>
      <c r="O17" s="86">
        <v>0.0</v>
      </c>
      <c r="P17" s="83">
        <f t="shared" si="1"/>
        <v>200000</v>
      </c>
      <c r="Q17" s="89" t="s">
        <v>28</v>
      </c>
      <c r="R17" s="88" t="s">
        <v>69</v>
      </c>
      <c r="S17" s="89" t="s">
        <v>74</v>
      </c>
      <c r="T17" s="77" t="s">
        <v>501</v>
      </c>
      <c r="U17" s="82" t="s">
        <v>175</v>
      </c>
      <c r="V17" s="78" t="s">
        <v>125</v>
      </c>
      <c r="W17" s="91"/>
      <c r="X17" s="91"/>
      <c r="Y17" s="86">
        <v>25000.0</v>
      </c>
      <c r="Z17" s="90">
        <f t="shared" si="2"/>
        <v>0</v>
      </c>
      <c r="AA17" s="90">
        <f t="shared" si="3"/>
        <v>175000</v>
      </c>
      <c r="AB17" s="90">
        <f t="shared" si="4"/>
        <v>175000</v>
      </c>
      <c r="AC17" s="90">
        <f t="shared" si="5"/>
        <v>25000</v>
      </c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</row>
    <row r="18">
      <c r="A18" s="51">
        <v>8.0</v>
      </c>
      <c r="B18" s="51" t="s">
        <v>54</v>
      </c>
      <c r="C18" s="51" t="s">
        <v>518</v>
      </c>
      <c r="D18" s="51" t="s">
        <v>43</v>
      </c>
      <c r="E18" s="51" t="s">
        <v>44</v>
      </c>
      <c r="F18" s="51" t="s">
        <v>77</v>
      </c>
      <c r="H18" s="51" t="s">
        <v>124</v>
      </c>
      <c r="I18" s="51">
        <v>2.11525048383E11</v>
      </c>
      <c r="L18" s="51" t="s">
        <v>519</v>
      </c>
      <c r="P18" s="16">
        <f t="shared" si="1"/>
        <v>0</v>
      </c>
      <c r="Q18" s="53" t="s">
        <v>66</v>
      </c>
      <c r="R18" s="61" t="s">
        <v>69</v>
      </c>
      <c r="S18" s="61" t="s">
        <v>71</v>
      </c>
      <c r="T18" s="51" t="s">
        <v>194</v>
      </c>
      <c r="U18" s="16" t="s">
        <v>70</v>
      </c>
      <c r="V18" s="54" t="s">
        <v>72</v>
      </c>
      <c r="Z18" s="40">
        <f t="shared" si="2"/>
        <v>0</v>
      </c>
      <c r="AA18" s="40">
        <f t="shared" si="3"/>
        <v>0</v>
      </c>
      <c r="AB18" s="40">
        <f t="shared" si="4"/>
        <v>0</v>
      </c>
      <c r="AC18" s="40">
        <f t="shared" si="5"/>
        <v>0</v>
      </c>
    </row>
    <row r="19">
      <c r="A19" s="51">
        <v>9.0</v>
      </c>
      <c r="B19" s="51" t="s">
        <v>41</v>
      </c>
      <c r="C19" s="51" t="s">
        <v>520</v>
      </c>
      <c r="D19" s="51" t="s">
        <v>104</v>
      </c>
      <c r="E19" s="51" t="s">
        <v>44</v>
      </c>
      <c r="F19" s="51" t="s">
        <v>312</v>
      </c>
      <c r="H19" s="51" t="s">
        <v>521</v>
      </c>
      <c r="I19" s="51">
        <v>2.10452054648E11</v>
      </c>
      <c r="J19" s="51">
        <v>8.239217331E9</v>
      </c>
      <c r="K19" s="51" t="s">
        <v>522</v>
      </c>
      <c r="L19" s="100" t="s">
        <v>523</v>
      </c>
      <c r="M19" s="51">
        <v>260000.0</v>
      </c>
      <c r="N19" s="51">
        <v>260000.0</v>
      </c>
      <c r="O19" s="51">
        <v>200000.0</v>
      </c>
      <c r="P19" s="16">
        <f t="shared" si="1"/>
        <v>60000</v>
      </c>
      <c r="Q19" s="53" t="s">
        <v>28</v>
      </c>
      <c r="R19" s="61" t="s">
        <v>69</v>
      </c>
      <c r="S19" s="53" t="s">
        <v>73</v>
      </c>
      <c r="T19" s="51" t="s">
        <v>194</v>
      </c>
      <c r="U19" s="16" t="s">
        <v>70</v>
      </c>
      <c r="V19" s="54" t="s">
        <v>72</v>
      </c>
      <c r="Z19" s="40">
        <f t="shared" si="2"/>
        <v>200000</v>
      </c>
      <c r="AA19" s="40">
        <f t="shared" si="3"/>
        <v>60000</v>
      </c>
      <c r="AB19" s="40">
        <f t="shared" si="4"/>
        <v>260000</v>
      </c>
      <c r="AC19" s="40">
        <f t="shared" si="5"/>
        <v>0</v>
      </c>
    </row>
    <row r="20">
      <c r="P20" s="16">
        <f t="shared" si="1"/>
        <v>0</v>
      </c>
      <c r="Q20" s="53" t="s">
        <v>66</v>
      </c>
      <c r="R20" s="61" t="s">
        <v>69</v>
      </c>
      <c r="S20" s="61" t="s">
        <v>71</v>
      </c>
      <c r="T20" s="51" t="s">
        <v>194</v>
      </c>
      <c r="U20" s="16" t="s">
        <v>70</v>
      </c>
      <c r="V20" s="54" t="s">
        <v>72</v>
      </c>
      <c r="Z20" s="40">
        <f t="shared" si="2"/>
        <v>0</v>
      </c>
      <c r="AA20" s="40">
        <f t="shared" si="3"/>
        <v>0</v>
      </c>
      <c r="AB20" s="40">
        <f t="shared" si="4"/>
        <v>0</v>
      </c>
      <c r="AC20" s="40">
        <f t="shared" si="5"/>
        <v>0</v>
      </c>
    </row>
    <row r="21">
      <c r="P21" s="16">
        <f t="shared" si="1"/>
        <v>0</v>
      </c>
      <c r="Q21" s="53" t="s">
        <v>66</v>
      </c>
      <c r="R21" s="61" t="s">
        <v>69</v>
      </c>
      <c r="S21" s="61" t="s">
        <v>71</v>
      </c>
      <c r="T21" s="51" t="s">
        <v>194</v>
      </c>
      <c r="U21" s="16" t="s">
        <v>70</v>
      </c>
      <c r="V21" s="54" t="s">
        <v>72</v>
      </c>
      <c r="Z21" s="40">
        <f t="shared" si="2"/>
        <v>0</v>
      </c>
      <c r="AA21" s="40">
        <f t="shared" si="3"/>
        <v>0</v>
      </c>
      <c r="AB21" s="40">
        <f t="shared" si="4"/>
        <v>0</v>
      </c>
      <c r="AC21" s="40">
        <f t="shared" si="5"/>
        <v>0</v>
      </c>
    </row>
    <row r="22">
      <c r="P22" s="16">
        <f t="shared" si="1"/>
        <v>0</v>
      </c>
      <c r="Q22" s="53" t="s">
        <v>66</v>
      </c>
      <c r="R22" s="61" t="s">
        <v>69</v>
      </c>
      <c r="S22" s="61" t="s">
        <v>71</v>
      </c>
      <c r="T22" s="51" t="s">
        <v>194</v>
      </c>
      <c r="U22" s="16" t="s">
        <v>70</v>
      </c>
      <c r="V22" s="54" t="s">
        <v>72</v>
      </c>
      <c r="Z22" s="40">
        <f t="shared" si="2"/>
        <v>0</v>
      </c>
      <c r="AA22" s="40">
        <f t="shared" si="3"/>
        <v>0</v>
      </c>
      <c r="AB22" s="40">
        <f t="shared" si="4"/>
        <v>0</v>
      </c>
      <c r="AC22" s="40">
        <f t="shared" si="5"/>
        <v>0</v>
      </c>
    </row>
  </sheetData>
  <dataValidations>
    <dataValidation type="list" allowBlank="1" showErrorMessage="1" sqref="T2:T22">
      <formula1>"Work Not Started Yet,Measrument Done,Material &amp; Team Reached,Structure Work,Panel,Inverter pending,Project On Hold,I&amp;C Completed"</formula1>
    </dataValidation>
    <dataValidation type="list" allowBlank="1" showErrorMessage="1" sqref="Q2:Q22">
      <formula1>"Doc Recieved,File login,COMPLET"</formula1>
    </dataValidation>
    <dataValidation type="list" allowBlank="1" showErrorMessage="1" sqref="S2:S22">
      <formula1>"Loan apply,File prepare,File into bank,Loan approved,Loan Rejected,CASH FILE"</formula1>
    </dataValidation>
    <dataValidation type="list" allowBlank="1" showErrorMessage="1" sqref="U2:U22">
      <formula1>"Pending,Meter &amp; File submit DISCOM,Net Metering,Subsidy apply with site photo,Subsidy granted"</formula1>
    </dataValidation>
    <dataValidation type="list" allowBlank="1" showErrorMessage="1" sqref="V2:V22">
      <formula1>"Cash To Mahi,1st Installment Received,2ns Installment Received,Payment Not Received Yet,Payment Due"</formula1>
    </dataValidation>
    <dataValidation type="list" allowBlank="1" showErrorMessage="1" sqref="R2:R22">
      <formula1>"Center (78K),Both (78 + 17),WITH OUT SUBSIDY"</formula1>
    </dataValidation>
  </dataValidations>
  <hyperlinks>
    <hyperlink r:id="rId1" ref="I1"/>
    <hyperlink r:id="rId2" ref="L12"/>
    <hyperlink r:id="rId3" ref="L1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4.13"/>
    <col customWidth="1" min="2" max="2" width="20.13"/>
    <col customWidth="1" min="3" max="3" width="21.75"/>
    <col customWidth="1" min="4" max="5" width="4.5"/>
    <col customWidth="1" min="10" max="10" width="32.13"/>
    <col customWidth="1" min="11" max="11" width="20.88"/>
    <col customWidth="1" min="13" max="13" width="20.38"/>
    <col customWidth="1" min="14" max="14" width="13.63"/>
    <col customWidth="1" min="15" max="15" width="11.25"/>
    <col customWidth="1" min="16" max="16" width="8.25"/>
    <col customWidth="1" min="17" max="17" width="16.0"/>
    <col customWidth="1" min="18" max="18" width="15.38"/>
    <col customWidth="1" min="19" max="19" width="16.38"/>
    <col customWidth="1" min="20" max="20" width="21.5"/>
    <col customWidth="1" min="21" max="21" width="14.75"/>
    <col customWidth="1" min="22" max="22" width="25.75"/>
    <col customWidth="1" min="26" max="26" width="23.0"/>
    <col customWidth="1" min="27" max="27" width="22.5"/>
  </cols>
  <sheetData>
    <row r="1">
      <c r="A1" s="1" t="s">
        <v>574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51">
        <v>1.0</v>
      </c>
      <c r="B2" s="51" t="s">
        <v>54</v>
      </c>
      <c r="C2" s="51" t="s">
        <v>581</v>
      </c>
      <c r="G2" s="51" t="s">
        <v>582</v>
      </c>
      <c r="H2" s="51">
        <v>2.10513022788E11</v>
      </c>
      <c r="I2" s="51">
        <v>9.001959864E9</v>
      </c>
      <c r="J2" s="51" t="s">
        <v>583</v>
      </c>
      <c r="P2" s="16">
        <f t="shared" ref="P2:P8" si="1">N2-O2</f>
        <v>0</v>
      </c>
      <c r="Q2" s="53" t="s">
        <v>66</v>
      </c>
      <c r="R2" s="53" t="s">
        <v>69</v>
      </c>
      <c r="S2" s="53" t="s">
        <v>71</v>
      </c>
      <c r="T2" s="51" t="s">
        <v>194</v>
      </c>
      <c r="U2" s="16" t="s">
        <v>70</v>
      </c>
      <c r="V2" s="54" t="s">
        <v>72</v>
      </c>
    </row>
    <row r="3">
      <c r="A3" s="51">
        <v>2.0</v>
      </c>
      <c r="B3" s="51" t="s">
        <v>585</v>
      </c>
      <c r="C3" s="51" t="s">
        <v>586</v>
      </c>
      <c r="D3" s="51" t="s">
        <v>104</v>
      </c>
      <c r="E3" s="51" t="s">
        <v>43</v>
      </c>
      <c r="F3" s="51" t="s">
        <v>587</v>
      </c>
      <c r="G3" s="51" t="s">
        <v>587</v>
      </c>
      <c r="H3" s="51">
        <v>2.1051103251E11</v>
      </c>
      <c r="I3" s="51">
        <v>9.785262235E9</v>
      </c>
      <c r="J3" s="51" t="s">
        <v>589</v>
      </c>
      <c r="K3" s="51" t="s">
        <v>590</v>
      </c>
      <c r="L3" s="51">
        <v>280000.0</v>
      </c>
      <c r="M3" s="51">
        <v>280000.0</v>
      </c>
      <c r="O3" s="51">
        <v>200000.0</v>
      </c>
      <c r="P3" s="16">
        <f t="shared" si="1"/>
        <v>-200000</v>
      </c>
      <c r="Q3" s="53" t="s">
        <v>28</v>
      </c>
      <c r="R3" s="53" t="s">
        <v>69</v>
      </c>
      <c r="S3" s="53" t="s">
        <v>73</v>
      </c>
      <c r="T3" s="51" t="s">
        <v>194</v>
      </c>
      <c r="U3" s="16" t="s">
        <v>70</v>
      </c>
      <c r="V3" s="54" t="s">
        <v>72</v>
      </c>
    </row>
    <row r="4">
      <c r="A4" s="51">
        <v>3.0</v>
      </c>
      <c r="B4" s="51" t="s">
        <v>585</v>
      </c>
      <c r="C4" s="51" t="s">
        <v>592</v>
      </c>
      <c r="D4" s="51" t="s">
        <v>43</v>
      </c>
      <c r="E4" s="51" t="s">
        <v>44</v>
      </c>
      <c r="F4" s="51" t="s">
        <v>593</v>
      </c>
      <c r="G4" s="51" t="s">
        <v>164</v>
      </c>
      <c r="H4" s="51">
        <v>2.11544023998E11</v>
      </c>
      <c r="I4" s="51">
        <v>8.058185887E9</v>
      </c>
      <c r="J4" s="51" t="s">
        <v>594</v>
      </c>
      <c r="K4" s="51" t="s">
        <v>595</v>
      </c>
      <c r="L4" s="51">
        <v>225000.0</v>
      </c>
      <c r="O4" s="51">
        <v>200000.0</v>
      </c>
      <c r="P4" s="16">
        <f t="shared" si="1"/>
        <v>-200000</v>
      </c>
      <c r="Q4" s="53" t="s">
        <v>28</v>
      </c>
      <c r="R4" s="53" t="s">
        <v>69</v>
      </c>
      <c r="S4" s="53" t="s">
        <v>73</v>
      </c>
      <c r="T4" s="51" t="s">
        <v>194</v>
      </c>
      <c r="U4" s="16" t="s">
        <v>70</v>
      </c>
      <c r="V4" s="54" t="s">
        <v>72</v>
      </c>
    </row>
    <row r="5">
      <c r="A5" s="51">
        <v>4.0</v>
      </c>
      <c r="P5" s="16">
        <f t="shared" si="1"/>
        <v>0</v>
      </c>
      <c r="Q5" s="53" t="s">
        <v>66</v>
      </c>
      <c r="R5" s="53" t="s">
        <v>69</v>
      </c>
      <c r="S5" s="53" t="s">
        <v>71</v>
      </c>
      <c r="T5" s="51" t="s">
        <v>194</v>
      </c>
      <c r="U5" s="16" t="s">
        <v>70</v>
      </c>
      <c r="V5" s="54" t="s">
        <v>72</v>
      </c>
      <c r="W5" s="54"/>
    </row>
    <row r="6">
      <c r="P6" s="16">
        <f t="shared" si="1"/>
        <v>0</v>
      </c>
      <c r="Q6" s="53" t="s">
        <v>66</v>
      </c>
      <c r="R6" s="53" t="s">
        <v>69</v>
      </c>
      <c r="S6" s="53" t="s">
        <v>71</v>
      </c>
      <c r="T6" s="51" t="s">
        <v>194</v>
      </c>
      <c r="U6" s="16" t="s">
        <v>70</v>
      </c>
      <c r="V6" s="54" t="s">
        <v>72</v>
      </c>
    </row>
    <row r="7">
      <c r="P7" s="16">
        <f t="shared" si="1"/>
        <v>0</v>
      </c>
      <c r="Q7" s="53" t="s">
        <v>66</v>
      </c>
      <c r="R7" s="53" t="s">
        <v>69</v>
      </c>
      <c r="S7" s="53" t="s">
        <v>71</v>
      </c>
      <c r="T7" s="51" t="s">
        <v>194</v>
      </c>
      <c r="U7" s="16" t="s">
        <v>70</v>
      </c>
      <c r="V7" s="54" t="s">
        <v>72</v>
      </c>
    </row>
    <row r="8">
      <c r="P8" s="16">
        <f t="shared" si="1"/>
        <v>0</v>
      </c>
      <c r="Q8" s="53" t="s">
        <v>66</v>
      </c>
      <c r="R8" s="53" t="s">
        <v>69</v>
      </c>
      <c r="S8" s="53" t="s">
        <v>71</v>
      </c>
      <c r="T8" s="51" t="s">
        <v>194</v>
      </c>
      <c r="U8" s="16" t="s">
        <v>70</v>
      </c>
      <c r="V8" s="54" t="s">
        <v>72</v>
      </c>
    </row>
  </sheetData>
  <dataValidations>
    <dataValidation type="list" allowBlank="1" showErrorMessage="1" sqref="T2:T8">
      <formula1>"Work Not Started Yet,Measrument Done,Material &amp; Team Reached,Structure Work,Panel,Inverter pending,Project On Hold,I&amp;C Completed"</formula1>
    </dataValidation>
    <dataValidation type="list" allowBlank="1" showErrorMessage="1" sqref="Q2:Q8">
      <formula1>"Doc Recieved,File login,COMPLET"</formula1>
    </dataValidation>
    <dataValidation type="list" allowBlank="1" showErrorMessage="1" sqref="S2:S8">
      <formula1>"Loan apply,File prepare,File into bank,Loan approved,Loan Rejected,CASH FILE"</formula1>
    </dataValidation>
    <dataValidation type="list" allowBlank="1" showErrorMessage="1" sqref="U2:U8">
      <formula1>"Pending,Meter &amp; File submit DISCOM,Net Metering,Subsidy apply with site photo,Subsidy granted"</formula1>
    </dataValidation>
    <dataValidation type="list" allowBlank="1" showErrorMessage="1" sqref="V2:V8">
      <formula1>"Cash To Mahi,1st Installment Received,2ns Installment Received,Payment Not Received Yet,Payment Due"</formula1>
    </dataValidation>
    <dataValidation type="list" allowBlank="1" showErrorMessage="1" sqref="R2:R8">
      <formula1>"Center (78K),Both (78 + 17),WITH OUT SUBSIDY"</formula1>
    </dataValidation>
  </dataValidations>
  <hyperlinks>
    <hyperlink r:id="rId1" ref="H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21.88"/>
    <col customWidth="1" min="3" max="3" width="24.25"/>
    <col customWidth="1" min="4" max="4" width="4.63"/>
    <col customWidth="1" min="5" max="5" width="4.25"/>
    <col customWidth="1" min="6" max="6" width="13.13"/>
    <col customWidth="1" min="7" max="7" width="17.63"/>
    <col customWidth="1" min="8" max="8" width="12.13"/>
    <col customWidth="1" min="9" max="9" width="10.63"/>
    <col customWidth="1" min="10" max="10" width="38.5"/>
    <col customWidth="1" min="11" max="11" width="43.88"/>
    <col customWidth="1" min="12" max="12" width="16.75"/>
    <col customWidth="1" min="13" max="13" width="20.0"/>
    <col customWidth="1" min="14" max="14" width="13.25"/>
    <col customWidth="1" min="15" max="15" width="6.5"/>
    <col customWidth="1" min="16" max="16" width="7.13"/>
    <col customWidth="1" min="17" max="17" width="16.0"/>
    <col customWidth="1" min="18" max="18" width="16.5"/>
    <col customWidth="1" min="19" max="19" width="17.0"/>
    <col customWidth="1" min="20" max="20" width="21.5"/>
    <col customWidth="1" min="21" max="21" width="27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1.0"/>
    <col customWidth="1" min="32" max="32" width="7.13"/>
    <col customWidth="1" min="33" max="33" width="20.5"/>
    <col customWidth="1" min="34" max="72" width="12.63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13" t="s">
        <v>40</v>
      </c>
      <c r="AF1" s="116" t="s">
        <v>584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43">
        <v>1.0</v>
      </c>
      <c r="B2" s="35" t="s">
        <v>102</v>
      </c>
      <c r="C2" s="41" t="s">
        <v>300</v>
      </c>
      <c r="D2" s="41" t="s">
        <v>43</v>
      </c>
      <c r="E2" s="35" t="s">
        <v>44</v>
      </c>
      <c r="F2" s="41" t="s">
        <v>91</v>
      </c>
      <c r="G2" s="31" t="s">
        <v>93</v>
      </c>
      <c r="H2" s="32">
        <v>2.11541027257E11</v>
      </c>
      <c r="I2" s="32">
        <v>9.636562714E9</v>
      </c>
      <c r="J2" s="34" t="s">
        <v>596</v>
      </c>
      <c r="K2" s="41"/>
      <c r="L2" s="39">
        <v>200000.0</v>
      </c>
      <c r="M2" s="35">
        <v>180000.0</v>
      </c>
      <c r="N2" s="35">
        <v>28117.0</v>
      </c>
      <c r="O2" s="39">
        <v>180000.0</v>
      </c>
      <c r="P2" s="50">
        <f t="shared" ref="P2:P30" si="1">M2-O2</f>
        <v>0</v>
      </c>
      <c r="Q2" s="31" t="s">
        <v>28</v>
      </c>
      <c r="R2" s="31" t="s">
        <v>65</v>
      </c>
      <c r="S2" s="31" t="s">
        <v>83</v>
      </c>
      <c r="T2" s="38" t="s">
        <v>84</v>
      </c>
      <c r="U2" s="41" t="s">
        <v>85</v>
      </c>
      <c r="V2" s="35" t="s">
        <v>86</v>
      </c>
      <c r="W2" s="35">
        <v>110000.0</v>
      </c>
      <c r="X2" s="35">
        <v>70000.0</v>
      </c>
      <c r="Y2" s="35">
        <v>0.0</v>
      </c>
      <c r="Z2" s="35"/>
      <c r="AA2" s="42">
        <f t="shared" ref="AA2:AA30" si="2">P2-Y2-Z2</f>
        <v>0</v>
      </c>
      <c r="AB2" s="42">
        <f t="shared" ref="AB2:AB30" si="3">O2-W2-X2</f>
        <v>0</v>
      </c>
      <c r="AC2" s="42">
        <f t="shared" ref="AC2:AC30" si="4">AD2-AB2</f>
        <v>-151883</v>
      </c>
      <c r="AD2" s="42">
        <f t="shared" ref="AD2:AD30" si="5">N2-(W2+X2+Y2)</f>
        <v>-151883</v>
      </c>
      <c r="AE2" s="42">
        <f t="shared" ref="AE2:AE30" si="6">W2+X2+Y2+Z2</f>
        <v>180000</v>
      </c>
      <c r="AF2" s="38" t="s">
        <v>612</v>
      </c>
    </row>
    <row r="3">
      <c r="A3" s="43">
        <v>2.0</v>
      </c>
      <c r="B3" s="35" t="s">
        <v>613</v>
      </c>
      <c r="C3" s="41" t="s">
        <v>614</v>
      </c>
      <c r="D3" s="41" t="s">
        <v>43</v>
      </c>
      <c r="E3" s="35" t="s">
        <v>44</v>
      </c>
      <c r="F3" s="41" t="s">
        <v>135</v>
      </c>
      <c r="G3" s="31" t="s">
        <v>615</v>
      </c>
      <c r="H3" s="32">
        <v>2.10474058651E11</v>
      </c>
      <c r="I3" s="32">
        <v>8.619075272E9</v>
      </c>
      <c r="J3" s="31" t="s">
        <v>618</v>
      </c>
      <c r="K3" s="31" t="s">
        <v>620</v>
      </c>
      <c r="L3" s="39">
        <v>200000.0</v>
      </c>
      <c r="M3" s="35">
        <v>190000.0</v>
      </c>
      <c r="N3" s="35">
        <v>21228.0</v>
      </c>
      <c r="O3" s="39">
        <v>0.0</v>
      </c>
      <c r="P3" s="50">
        <f t="shared" si="1"/>
        <v>190000</v>
      </c>
      <c r="Q3" s="31" t="s">
        <v>28</v>
      </c>
      <c r="R3" s="31" t="s">
        <v>65</v>
      </c>
      <c r="S3" s="31" t="s">
        <v>74</v>
      </c>
      <c r="T3" s="38" t="s">
        <v>84</v>
      </c>
      <c r="U3" s="41" t="s">
        <v>175</v>
      </c>
      <c r="V3" s="35" t="s">
        <v>72</v>
      </c>
      <c r="W3" s="35">
        <v>0.0</v>
      </c>
      <c r="X3" s="35">
        <v>0.0</v>
      </c>
      <c r="Y3" s="35">
        <v>0.0</v>
      </c>
      <c r="Z3" s="41"/>
      <c r="AA3" s="42">
        <f t="shared" si="2"/>
        <v>190000</v>
      </c>
      <c r="AB3" s="42">
        <f t="shared" si="3"/>
        <v>0</v>
      </c>
      <c r="AC3" s="42">
        <f t="shared" si="4"/>
        <v>21228</v>
      </c>
      <c r="AD3" s="42">
        <f t="shared" si="5"/>
        <v>21228</v>
      </c>
      <c r="AE3" s="42">
        <f t="shared" si="6"/>
        <v>0</v>
      </c>
      <c r="AF3" s="38" t="s">
        <v>612</v>
      </c>
    </row>
    <row r="4">
      <c r="A4" s="43">
        <v>3.0</v>
      </c>
      <c r="B4" s="41" t="s">
        <v>20</v>
      </c>
      <c r="C4" s="41" t="s">
        <v>628</v>
      </c>
      <c r="D4" s="41" t="s">
        <v>629</v>
      </c>
      <c r="E4" s="35" t="s">
        <v>58</v>
      </c>
      <c r="F4" s="41" t="s">
        <v>630</v>
      </c>
      <c r="G4" s="41" t="s">
        <v>631</v>
      </c>
      <c r="H4" s="39">
        <v>2.1041307557E11</v>
      </c>
      <c r="I4" s="32">
        <v>9.314064698E9</v>
      </c>
      <c r="J4" s="31" t="s">
        <v>632</v>
      </c>
      <c r="K4" s="42"/>
      <c r="L4" s="38">
        <v>370000.0</v>
      </c>
      <c r="M4" s="38">
        <v>370000.0</v>
      </c>
      <c r="N4" s="38">
        <v>325500.0</v>
      </c>
      <c r="O4" s="38">
        <v>0.0</v>
      </c>
      <c r="P4" s="50">
        <f t="shared" si="1"/>
        <v>370000</v>
      </c>
      <c r="Q4" s="31" t="s">
        <v>28</v>
      </c>
      <c r="R4" s="31" t="s">
        <v>69</v>
      </c>
      <c r="S4" s="31" t="s">
        <v>71</v>
      </c>
      <c r="T4" s="38" t="s">
        <v>84</v>
      </c>
      <c r="U4" s="41" t="s">
        <v>70</v>
      </c>
      <c r="V4" s="35" t="s">
        <v>125</v>
      </c>
      <c r="W4" s="38">
        <v>0.0</v>
      </c>
      <c r="X4" s="38">
        <v>0.0</v>
      </c>
      <c r="Y4" s="38">
        <v>296500.0</v>
      </c>
      <c r="Z4" s="38">
        <v>73500.0</v>
      </c>
      <c r="AA4" s="42">
        <f t="shared" si="2"/>
        <v>0</v>
      </c>
      <c r="AB4" s="42">
        <f t="shared" si="3"/>
        <v>0</v>
      </c>
      <c r="AC4" s="42">
        <f t="shared" si="4"/>
        <v>29000</v>
      </c>
      <c r="AD4" s="42">
        <f t="shared" si="5"/>
        <v>29000</v>
      </c>
      <c r="AE4" s="42">
        <f t="shared" si="6"/>
        <v>370000</v>
      </c>
      <c r="AF4" s="38" t="s">
        <v>612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</row>
    <row r="5">
      <c r="A5" s="43">
        <v>4.0</v>
      </c>
      <c r="B5" s="117" t="s">
        <v>20</v>
      </c>
      <c r="C5" s="117" t="s">
        <v>641</v>
      </c>
      <c r="D5" s="117" t="s">
        <v>43</v>
      </c>
      <c r="E5" s="118" t="s">
        <v>44</v>
      </c>
      <c r="F5" s="117" t="s">
        <v>135</v>
      </c>
      <c r="G5" s="117" t="s">
        <v>642</v>
      </c>
      <c r="H5" s="119">
        <v>2.10475019747E11</v>
      </c>
      <c r="I5" s="119">
        <v>9.928252415E9</v>
      </c>
      <c r="J5" s="117" t="s">
        <v>644</v>
      </c>
      <c r="K5" s="117"/>
      <c r="L5" s="118">
        <v>180000.0</v>
      </c>
      <c r="M5" s="118">
        <v>180000.0</v>
      </c>
      <c r="N5" s="118">
        <f>25626+2000</f>
        <v>27626</v>
      </c>
      <c r="O5" s="117"/>
      <c r="P5" s="120">
        <f t="shared" si="1"/>
        <v>180000</v>
      </c>
      <c r="Q5" s="121" t="s">
        <v>28</v>
      </c>
      <c r="R5" s="121" t="s">
        <v>65</v>
      </c>
      <c r="S5" s="122" t="s">
        <v>74</v>
      </c>
      <c r="T5" s="118"/>
      <c r="U5" s="117" t="s">
        <v>175</v>
      </c>
      <c r="V5" s="118" t="s">
        <v>72</v>
      </c>
      <c r="W5" s="118">
        <v>0.0</v>
      </c>
      <c r="X5" s="118">
        <v>0.0</v>
      </c>
      <c r="Y5" s="118">
        <v>0.0</v>
      </c>
      <c r="Z5" s="117"/>
      <c r="AA5" s="123">
        <f t="shared" si="2"/>
        <v>180000</v>
      </c>
      <c r="AB5" s="123">
        <f t="shared" si="3"/>
        <v>0</v>
      </c>
      <c r="AC5" s="123">
        <f t="shared" si="4"/>
        <v>27626</v>
      </c>
      <c r="AD5" s="123">
        <f t="shared" si="5"/>
        <v>27626</v>
      </c>
      <c r="AE5" s="123">
        <f t="shared" si="6"/>
        <v>0</v>
      </c>
      <c r="AF5" s="124" t="s">
        <v>612</v>
      </c>
    </row>
    <row r="6">
      <c r="A6" s="43">
        <v>5.0</v>
      </c>
      <c r="B6" s="118" t="s">
        <v>20</v>
      </c>
      <c r="C6" s="117" t="s">
        <v>648</v>
      </c>
      <c r="D6" s="117" t="s">
        <v>43</v>
      </c>
      <c r="E6" s="118" t="s">
        <v>44</v>
      </c>
      <c r="F6" s="117" t="s">
        <v>91</v>
      </c>
      <c r="G6" s="117" t="s">
        <v>93</v>
      </c>
      <c r="H6" s="119">
        <v>2.11541041408E11</v>
      </c>
      <c r="I6" s="118">
        <v>7.728826118E9</v>
      </c>
      <c r="J6" s="117" t="s">
        <v>652</v>
      </c>
      <c r="K6" s="117" t="s">
        <v>653</v>
      </c>
      <c r="L6" s="119">
        <v>210000.0</v>
      </c>
      <c r="M6" s="118">
        <v>200000.0</v>
      </c>
      <c r="N6" s="118">
        <v>2000.0</v>
      </c>
      <c r="O6" s="118">
        <v>200000.0</v>
      </c>
      <c r="P6" s="120">
        <f t="shared" si="1"/>
        <v>0</v>
      </c>
      <c r="Q6" s="121" t="s">
        <v>28</v>
      </c>
      <c r="R6" s="121" t="s">
        <v>69</v>
      </c>
      <c r="S6" s="122" t="s">
        <v>83</v>
      </c>
      <c r="T6" s="118"/>
      <c r="U6" s="117" t="s">
        <v>70</v>
      </c>
      <c r="V6" s="118" t="s">
        <v>176</v>
      </c>
      <c r="W6" s="118">
        <v>110000.0</v>
      </c>
      <c r="X6" s="118">
        <v>0.0</v>
      </c>
      <c r="Y6" s="118">
        <v>0.0</v>
      </c>
      <c r="Z6" s="117"/>
      <c r="AA6" s="123">
        <f t="shared" si="2"/>
        <v>0</v>
      </c>
      <c r="AB6" s="123">
        <f t="shared" si="3"/>
        <v>90000</v>
      </c>
      <c r="AC6" s="123">
        <f t="shared" si="4"/>
        <v>-198000</v>
      </c>
      <c r="AD6" s="123">
        <f t="shared" si="5"/>
        <v>-108000</v>
      </c>
      <c r="AE6" s="123">
        <f t="shared" si="6"/>
        <v>110000</v>
      </c>
      <c r="AF6" s="124" t="s">
        <v>612</v>
      </c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</row>
    <row r="7">
      <c r="A7" s="43">
        <v>6.0</v>
      </c>
      <c r="B7" s="117" t="s">
        <v>20</v>
      </c>
      <c r="C7" s="117" t="s">
        <v>661</v>
      </c>
      <c r="D7" s="117" t="s">
        <v>104</v>
      </c>
      <c r="E7" s="117"/>
      <c r="F7" s="117" t="s">
        <v>664</v>
      </c>
      <c r="G7" s="117" t="s">
        <v>135</v>
      </c>
      <c r="H7" s="119">
        <v>2.10474028377E11</v>
      </c>
      <c r="I7" s="119">
        <v>9.828187773E9</v>
      </c>
      <c r="J7" s="117" t="s">
        <v>665</v>
      </c>
      <c r="K7" s="117"/>
      <c r="L7" s="119">
        <v>290000.0</v>
      </c>
      <c r="M7" s="119">
        <v>290000.0</v>
      </c>
      <c r="N7" s="120">
        <v>2000.0</v>
      </c>
      <c r="O7" s="119">
        <v>0.0</v>
      </c>
      <c r="P7" s="120">
        <f t="shared" si="1"/>
        <v>290000</v>
      </c>
      <c r="Q7" s="121" t="s">
        <v>28</v>
      </c>
      <c r="R7" s="121" t="s">
        <v>69</v>
      </c>
      <c r="S7" s="121" t="s">
        <v>74</v>
      </c>
      <c r="T7" s="117"/>
      <c r="U7" s="117" t="s">
        <v>175</v>
      </c>
      <c r="V7" s="118" t="s">
        <v>72</v>
      </c>
      <c r="W7" s="118">
        <v>0.0</v>
      </c>
      <c r="X7" s="118">
        <v>0.0</v>
      </c>
      <c r="Y7" s="118">
        <v>0.0</v>
      </c>
      <c r="Z7" s="117"/>
      <c r="AA7" s="123">
        <f t="shared" si="2"/>
        <v>290000</v>
      </c>
      <c r="AB7" s="123">
        <f t="shared" si="3"/>
        <v>0</v>
      </c>
      <c r="AC7" s="123">
        <f t="shared" si="4"/>
        <v>2000</v>
      </c>
      <c r="AD7" s="123">
        <f t="shared" si="5"/>
        <v>2000</v>
      </c>
      <c r="AE7" s="123">
        <f t="shared" si="6"/>
        <v>0</v>
      </c>
      <c r="AF7" s="123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</row>
    <row r="8">
      <c r="A8" s="43">
        <v>7.0</v>
      </c>
      <c r="B8" s="117" t="s">
        <v>20</v>
      </c>
      <c r="C8" s="117" t="s">
        <v>669</v>
      </c>
      <c r="D8" s="117" t="s">
        <v>43</v>
      </c>
      <c r="E8" s="118" t="s">
        <v>44</v>
      </c>
      <c r="F8" s="117" t="s">
        <v>91</v>
      </c>
      <c r="G8" s="117" t="s">
        <v>93</v>
      </c>
      <c r="H8" s="119">
        <v>2.11541032593E11</v>
      </c>
      <c r="I8" s="119">
        <v>9.784002424E9</v>
      </c>
      <c r="J8" s="117" t="s">
        <v>672</v>
      </c>
      <c r="K8" s="117" t="s">
        <v>673</v>
      </c>
      <c r="L8" s="119">
        <v>225000.0</v>
      </c>
      <c r="M8" s="119">
        <v>200000.0</v>
      </c>
      <c r="N8" s="120">
        <v>2000.0</v>
      </c>
      <c r="O8" s="119">
        <v>200000.0</v>
      </c>
      <c r="P8" s="120">
        <f t="shared" si="1"/>
        <v>0</v>
      </c>
      <c r="Q8" s="121" t="s">
        <v>28</v>
      </c>
      <c r="R8" s="121" t="s">
        <v>65</v>
      </c>
      <c r="S8" s="121" t="s">
        <v>73</v>
      </c>
      <c r="T8" s="117"/>
      <c r="U8" s="117" t="s">
        <v>175</v>
      </c>
      <c r="V8" s="118" t="s">
        <v>176</v>
      </c>
      <c r="W8" s="118">
        <v>100000.0</v>
      </c>
      <c r="X8" s="118">
        <v>0.0</v>
      </c>
      <c r="Y8" s="118">
        <v>0.0</v>
      </c>
      <c r="Z8" s="117"/>
      <c r="AA8" s="123">
        <f t="shared" si="2"/>
        <v>0</v>
      </c>
      <c r="AB8" s="123">
        <f t="shared" si="3"/>
        <v>100000</v>
      </c>
      <c r="AC8" s="123">
        <f t="shared" si="4"/>
        <v>-198000</v>
      </c>
      <c r="AD8" s="123">
        <f t="shared" si="5"/>
        <v>-98000</v>
      </c>
      <c r="AE8" s="123">
        <f t="shared" si="6"/>
        <v>100000</v>
      </c>
      <c r="AF8" s="123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</row>
    <row r="9">
      <c r="A9" s="43">
        <v>8.0</v>
      </c>
      <c r="B9" s="117" t="s">
        <v>677</v>
      </c>
      <c r="C9" s="117" t="s">
        <v>678</v>
      </c>
      <c r="D9" s="117" t="s">
        <v>104</v>
      </c>
      <c r="E9" s="118" t="s">
        <v>44</v>
      </c>
      <c r="F9" s="118" t="s">
        <v>680</v>
      </c>
      <c r="G9" s="117" t="s">
        <v>114</v>
      </c>
      <c r="H9" s="119">
        <v>2.11529010283E11</v>
      </c>
      <c r="I9" s="119">
        <v>8.690250029E9</v>
      </c>
      <c r="J9" s="123"/>
      <c r="K9" s="121" t="s">
        <v>683</v>
      </c>
      <c r="L9" s="120">
        <v>220000.0</v>
      </c>
      <c r="M9" s="120">
        <v>200000.0</v>
      </c>
      <c r="N9" s="120">
        <v>2000.0</v>
      </c>
      <c r="O9" s="120">
        <v>199000.0</v>
      </c>
      <c r="P9" s="120">
        <f t="shared" si="1"/>
        <v>1000</v>
      </c>
      <c r="Q9" s="121" t="s">
        <v>28</v>
      </c>
      <c r="R9" s="121" t="s">
        <v>65</v>
      </c>
      <c r="S9" s="121" t="s">
        <v>83</v>
      </c>
      <c r="T9" s="118"/>
      <c r="U9" s="117" t="s">
        <v>175</v>
      </c>
      <c r="V9" s="118" t="s">
        <v>176</v>
      </c>
      <c r="W9" s="124">
        <v>139000.0</v>
      </c>
      <c r="X9" s="118">
        <v>0.0</v>
      </c>
      <c r="Y9" s="118">
        <v>0.0</v>
      </c>
      <c r="Z9" s="117"/>
      <c r="AA9" s="123">
        <f t="shared" si="2"/>
        <v>1000</v>
      </c>
      <c r="AB9" s="123">
        <f t="shared" si="3"/>
        <v>60000</v>
      </c>
      <c r="AC9" s="123">
        <f t="shared" si="4"/>
        <v>-197000</v>
      </c>
      <c r="AD9" s="123">
        <f t="shared" si="5"/>
        <v>-137000</v>
      </c>
      <c r="AE9" s="123">
        <f t="shared" si="6"/>
        <v>139000</v>
      </c>
      <c r="AF9" s="124" t="s">
        <v>612</v>
      </c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45"/>
    </row>
    <row r="10">
      <c r="A10" s="43">
        <v>9.0</v>
      </c>
      <c r="B10" s="118" t="s">
        <v>41</v>
      </c>
      <c r="C10" s="118" t="s">
        <v>686</v>
      </c>
      <c r="D10" s="118" t="s">
        <v>43</v>
      </c>
      <c r="E10" s="118" t="s">
        <v>44</v>
      </c>
      <c r="F10" s="118" t="s">
        <v>134</v>
      </c>
      <c r="G10" s="118" t="s">
        <v>114</v>
      </c>
      <c r="H10" s="124">
        <v>2.11529012243E11</v>
      </c>
      <c r="I10" s="124">
        <v>7.691830457E9</v>
      </c>
      <c r="J10" s="124" t="s">
        <v>687</v>
      </c>
      <c r="K10" s="117"/>
      <c r="L10" s="118">
        <v>225000.0</v>
      </c>
      <c r="M10" s="118">
        <v>200000.0</v>
      </c>
      <c r="N10" s="118">
        <v>2000.0</v>
      </c>
      <c r="O10" s="118">
        <v>200000.0</v>
      </c>
      <c r="P10" s="120">
        <f t="shared" si="1"/>
        <v>0</v>
      </c>
      <c r="Q10" s="121" t="s">
        <v>28</v>
      </c>
      <c r="R10" s="121" t="s">
        <v>69</v>
      </c>
      <c r="S10" s="122" t="s">
        <v>73</v>
      </c>
      <c r="T10" s="117"/>
      <c r="U10" s="117" t="s">
        <v>70</v>
      </c>
      <c r="V10" s="118" t="s">
        <v>176</v>
      </c>
      <c r="W10" s="118">
        <v>140000.0</v>
      </c>
      <c r="X10" s="118">
        <v>0.0</v>
      </c>
      <c r="Y10" s="118">
        <v>0.0</v>
      </c>
      <c r="Z10" s="117"/>
      <c r="AA10" s="123">
        <f t="shared" si="2"/>
        <v>0</v>
      </c>
      <c r="AB10" s="123">
        <f t="shared" si="3"/>
        <v>60000</v>
      </c>
      <c r="AC10" s="123">
        <f t="shared" si="4"/>
        <v>-198000</v>
      </c>
      <c r="AD10" s="123">
        <f t="shared" si="5"/>
        <v>-138000</v>
      </c>
      <c r="AE10" s="123">
        <f t="shared" si="6"/>
        <v>140000</v>
      </c>
      <c r="AF10" s="123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</row>
    <row r="11">
      <c r="A11" s="43">
        <v>10.0</v>
      </c>
      <c r="B11" s="124" t="s">
        <v>397</v>
      </c>
      <c r="C11" s="124" t="s">
        <v>688</v>
      </c>
      <c r="D11" s="124" t="s">
        <v>535</v>
      </c>
      <c r="E11" s="124" t="s">
        <v>58</v>
      </c>
      <c r="F11" s="124" t="s">
        <v>134</v>
      </c>
      <c r="G11" s="124" t="s">
        <v>114</v>
      </c>
      <c r="H11" s="124">
        <v>2.11529013111E11</v>
      </c>
      <c r="I11" s="124">
        <v>8.078602223E9</v>
      </c>
      <c r="J11" s="124" t="s">
        <v>689</v>
      </c>
      <c r="K11" s="124" t="s">
        <v>690</v>
      </c>
      <c r="L11" s="124">
        <v>250000.0</v>
      </c>
      <c r="M11" s="123"/>
      <c r="N11" s="124">
        <v>2000.0</v>
      </c>
      <c r="O11" s="123"/>
      <c r="P11" s="120">
        <f t="shared" si="1"/>
        <v>0</v>
      </c>
      <c r="Q11" s="122" t="s">
        <v>28</v>
      </c>
      <c r="R11" s="121" t="s">
        <v>69</v>
      </c>
      <c r="S11" s="122" t="s">
        <v>74</v>
      </c>
      <c r="T11" s="117"/>
      <c r="U11" s="117" t="s">
        <v>70</v>
      </c>
      <c r="V11" s="118" t="s">
        <v>72</v>
      </c>
      <c r="W11" s="124">
        <v>0.0</v>
      </c>
      <c r="X11" s="124">
        <v>0.0</v>
      </c>
      <c r="Y11" s="124">
        <v>0.0</v>
      </c>
      <c r="Z11" s="123"/>
      <c r="AA11" s="123">
        <f t="shared" si="2"/>
        <v>0</v>
      </c>
      <c r="AB11" s="123">
        <f t="shared" si="3"/>
        <v>0</v>
      </c>
      <c r="AC11" s="123">
        <f t="shared" si="4"/>
        <v>2000</v>
      </c>
      <c r="AD11" s="123">
        <f t="shared" si="5"/>
        <v>2000</v>
      </c>
      <c r="AE11" s="123">
        <f t="shared" si="6"/>
        <v>0</v>
      </c>
      <c r="AF11" s="123"/>
    </row>
    <row r="12">
      <c r="A12" s="43">
        <v>11.0</v>
      </c>
      <c r="B12" s="124" t="s">
        <v>41</v>
      </c>
      <c r="C12" s="124" t="s">
        <v>691</v>
      </c>
      <c r="D12" s="124" t="s">
        <v>43</v>
      </c>
      <c r="E12" s="124" t="s">
        <v>44</v>
      </c>
      <c r="F12" s="124" t="s">
        <v>91</v>
      </c>
      <c r="G12" s="124" t="s">
        <v>93</v>
      </c>
      <c r="H12" s="124">
        <v>2.1154103738E11</v>
      </c>
      <c r="I12" s="124">
        <v>8.949711161E9</v>
      </c>
      <c r="J12" s="124" t="s">
        <v>692</v>
      </c>
      <c r="K12" s="123"/>
      <c r="L12" s="124">
        <v>225000.0</v>
      </c>
      <c r="M12" s="124">
        <v>200000.0</v>
      </c>
      <c r="N12" s="124">
        <v>2000.0</v>
      </c>
      <c r="O12" s="124">
        <v>200000.0</v>
      </c>
      <c r="P12" s="24">
        <f t="shared" si="1"/>
        <v>0</v>
      </c>
      <c r="Q12" s="121" t="s">
        <v>28</v>
      </c>
      <c r="R12" s="121" t="s">
        <v>69</v>
      </c>
      <c r="S12" s="122" t="s">
        <v>73</v>
      </c>
      <c r="T12" s="117"/>
      <c r="U12" s="117" t="s">
        <v>70</v>
      </c>
      <c r="V12" s="118" t="s">
        <v>176</v>
      </c>
      <c r="W12" s="124">
        <v>110000.0</v>
      </c>
      <c r="X12" s="124">
        <v>0.0</v>
      </c>
      <c r="Y12" s="124">
        <v>0.0</v>
      </c>
      <c r="Z12" s="123"/>
      <c r="AA12" s="123">
        <f t="shared" si="2"/>
        <v>0</v>
      </c>
      <c r="AB12" s="123">
        <f t="shared" si="3"/>
        <v>90000</v>
      </c>
      <c r="AC12" s="123">
        <f t="shared" si="4"/>
        <v>-198000</v>
      </c>
      <c r="AD12" s="123">
        <f t="shared" si="5"/>
        <v>-108000</v>
      </c>
      <c r="AE12" s="123">
        <f t="shared" si="6"/>
        <v>110000</v>
      </c>
      <c r="AF12" s="123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</row>
    <row r="13">
      <c r="A13" s="43">
        <v>12.0</v>
      </c>
      <c r="B13" s="124" t="s">
        <v>397</v>
      </c>
      <c r="C13" s="124" t="s">
        <v>693</v>
      </c>
      <c r="D13" s="124" t="s">
        <v>226</v>
      </c>
      <c r="E13" s="124" t="s">
        <v>58</v>
      </c>
      <c r="F13" s="124" t="s">
        <v>135</v>
      </c>
      <c r="G13" s="124" t="s">
        <v>642</v>
      </c>
      <c r="H13" s="124">
        <v>2.10475040846E11</v>
      </c>
      <c r="I13" s="124">
        <v>9.66771138E9</v>
      </c>
      <c r="J13" s="124" t="s">
        <v>694</v>
      </c>
      <c r="K13" s="126" t="s">
        <v>695</v>
      </c>
      <c r="L13" s="120">
        <v>230000.0</v>
      </c>
      <c r="M13" s="119">
        <v>340000.0</v>
      </c>
      <c r="N13" s="120">
        <f>225193+2000</f>
        <v>227193</v>
      </c>
      <c r="O13" s="127">
        <v>0.0</v>
      </c>
      <c r="P13" s="120">
        <f t="shared" si="1"/>
        <v>340000</v>
      </c>
      <c r="Q13" s="121" t="s">
        <v>28</v>
      </c>
      <c r="R13" s="122" t="s">
        <v>65</v>
      </c>
      <c r="S13" s="122" t="s">
        <v>74</v>
      </c>
      <c r="T13" s="124" t="s">
        <v>84</v>
      </c>
      <c r="U13" s="118" t="s">
        <v>278</v>
      </c>
      <c r="V13" s="118" t="s">
        <v>72</v>
      </c>
      <c r="W13" s="119">
        <v>0.0</v>
      </c>
      <c r="X13" s="119">
        <v>0.0</v>
      </c>
      <c r="Y13" s="119">
        <v>140000.0</v>
      </c>
      <c r="Z13" s="119">
        <v>110000.0</v>
      </c>
      <c r="AA13" s="123">
        <f t="shared" si="2"/>
        <v>90000</v>
      </c>
      <c r="AB13" s="123">
        <f t="shared" si="3"/>
        <v>0</v>
      </c>
      <c r="AC13" s="123">
        <f t="shared" si="4"/>
        <v>87193</v>
      </c>
      <c r="AD13" s="123">
        <f t="shared" si="5"/>
        <v>87193</v>
      </c>
      <c r="AE13" s="123">
        <f t="shared" si="6"/>
        <v>250000</v>
      </c>
      <c r="AF13" s="123"/>
      <c r="AG13" s="47" t="s">
        <v>699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</row>
    <row r="14">
      <c r="A14" s="43">
        <v>13.0</v>
      </c>
      <c r="B14" s="54" t="s">
        <v>20</v>
      </c>
      <c r="C14" s="16" t="s">
        <v>702</v>
      </c>
      <c r="D14" s="16" t="s">
        <v>104</v>
      </c>
      <c r="E14" s="54" t="s">
        <v>44</v>
      </c>
      <c r="F14" s="16" t="s">
        <v>91</v>
      </c>
      <c r="G14" s="16" t="s">
        <v>93</v>
      </c>
      <c r="H14" s="40">
        <v>2.11541027285E11</v>
      </c>
      <c r="I14" s="40">
        <v>7.792961082E9</v>
      </c>
      <c r="J14" s="16" t="s">
        <v>705</v>
      </c>
      <c r="K14" s="16" t="s">
        <v>706</v>
      </c>
      <c r="L14" s="40">
        <v>225000.0</v>
      </c>
      <c r="M14" s="16"/>
      <c r="N14" s="16"/>
      <c r="O14" s="16"/>
      <c r="P14" s="24">
        <f t="shared" si="1"/>
        <v>0</v>
      </c>
      <c r="Q14" s="53" t="s">
        <v>28</v>
      </c>
      <c r="R14" s="61" t="s">
        <v>65</v>
      </c>
      <c r="S14" s="61" t="s">
        <v>71</v>
      </c>
      <c r="T14" s="51" t="s">
        <v>194</v>
      </c>
      <c r="U14" s="16" t="s">
        <v>70</v>
      </c>
      <c r="V14" s="54" t="s">
        <v>72</v>
      </c>
      <c r="W14" s="16"/>
      <c r="X14" s="16"/>
      <c r="Y14" s="16"/>
      <c r="Z14" s="16"/>
      <c r="AA14" s="69">
        <f t="shared" si="2"/>
        <v>0</v>
      </c>
      <c r="AB14" s="69">
        <f t="shared" si="3"/>
        <v>0</v>
      </c>
      <c r="AC14" s="45">
        <f t="shared" si="4"/>
        <v>0</v>
      </c>
      <c r="AD14" s="69">
        <f t="shared" si="5"/>
        <v>0</v>
      </c>
      <c r="AE14" s="69">
        <f t="shared" si="6"/>
        <v>0</v>
      </c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</row>
    <row r="15">
      <c r="A15" s="43">
        <v>14.0</v>
      </c>
      <c r="B15" s="54" t="s">
        <v>711</v>
      </c>
      <c r="C15" s="16" t="s">
        <v>713</v>
      </c>
      <c r="D15" s="16" t="s">
        <v>104</v>
      </c>
      <c r="E15" s="16"/>
      <c r="F15" s="16" t="s">
        <v>715</v>
      </c>
      <c r="G15" s="16" t="s">
        <v>135</v>
      </c>
      <c r="H15" s="40">
        <v>2.10474057868E11</v>
      </c>
      <c r="I15" s="79">
        <v>8.769243716E9</v>
      </c>
      <c r="J15" s="61" t="s">
        <v>716</v>
      </c>
      <c r="K15" s="16" t="s">
        <v>717</v>
      </c>
      <c r="L15" s="40">
        <v>225000.0</v>
      </c>
      <c r="M15" s="54">
        <v>290000.0</v>
      </c>
      <c r="N15" s="16"/>
      <c r="O15" s="40">
        <v>200000.0</v>
      </c>
      <c r="P15" s="24">
        <f t="shared" si="1"/>
        <v>90000</v>
      </c>
      <c r="Q15" s="61" t="s">
        <v>28</v>
      </c>
      <c r="R15" s="61" t="s">
        <v>69</v>
      </c>
      <c r="S15" s="61" t="s">
        <v>73</v>
      </c>
      <c r="T15" s="51" t="s">
        <v>194</v>
      </c>
      <c r="U15" s="16" t="s">
        <v>70</v>
      </c>
      <c r="V15" s="54" t="s">
        <v>72</v>
      </c>
      <c r="W15" s="16"/>
      <c r="X15" s="16"/>
      <c r="Y15" s="16"/>
      <c r="Z15" s="16"/>
      <c r="AA15" s="69">
        <f t="shared" si="2"/>
        <v>90000</v>
      </c>
      <c r="AB15" s="69">
        <f t="shared" si="3"/>
        <v>200000</v>
      </c>
      <c r="AC15" s="45">
        <f t="shared" si="4"/>
        <v>-200000</v>
      </c>
      <c r="AD15" s="69">
        <f t="shared" si="5"/>
        <v>0</v>
      </c>
      <c r="AE15" s="69">
        <f t="shared" si="6"/>
        <v>0</v>
      </c>
    </row>
    <row r="16">
      <c r="A16" s="43">
        <v>15.0</v>
      </c>
      <c r="B16" s="117" t="s">
        <v>20</v>
      </c>
      <c r="C16" s="117" t="s">
        <v>720</v>
      </c>
      <c r="D16" s="117" t="s">
        <v>43</v>
      </c>
      <c r="E16" s="118" t="s">
        <v>44</v>
      </c>
      <c r="F16" s="117" t="s">
        <v>91</v>
      </c>
      <c r="G16" s="117" t="s">
        <v>93</v>
      </c>
      <c r="H16" s="119">
        <v>2.11541034723E11</v>
      </c>
      <c r="I16" s="119">
        <v>9.950288449E9</v>
      </c>
      <c r="J16" s="117" t="s">
        <v>721</v>
      </c>
      <c r="K16" s="117" t="s">
        <v>722</v>
      </c>
      <c r="L16" s="119">
        <v>225000.0</v>
      </c>
      <c r="M16" s="119">
        <v>200000.0</v>
      </c>
      <c r="N16" s="120">
        <v>2000.0</v>
      </c>
      <c r="O16" s="119">
        <v>200000.0</v>
      </c>
      <c r="P16" s="120">
        <f t="shared" si="1"/>
        <v>0</v>
      </c>
      <c r="Q16" s="121" t="s">
        <v>28</v>
      </c>
      <c r="R16" s="121" t="s">
        <v>65</v>
      </c>
      <c r="S16" s="121" t="s">
        <v>73</v>
      </c>
      <c r="T16" s="124"/>
      <c r="U16" s="117" t="s">
        <v>175</v>
      </c>
      <c r="V16" s="118" t="s">
        <v>72</v>
      </c>
      <c r="W16" s="117"/>
      <c r="X16" s="117"/>
      <c r="Y16" s="117"/>
      <c r="Z16" s="117"/>
      <c r="AA16" s="123">
        <f t="shared" si="2"/>
        <v>0</v>
      </c>
      <c r="AB16" s="123">
        <f t="shared" si="3"/>
        <v>200000</v>
      </c>
      <c r="AC16" s="123">
        <f t="shared" si="4"/>
        <v>-198000</v>
      </c>
      <c r="AD16" s="123">
        <f t="shared" si="5"/>
        <v>2000</v>
      </c>
      <c r="AE16" s="123">
        <f t="shared" si="6"/>
        <v>0</v>
      </c>
      <c r="AF16" s="123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</row>
    <row r="17">
      <c r="A17" s="43">
        <v>16.0</v>
      </c>
      <c r="B17" s="51" t="s">
        <v>87</v>
      </c>
      <c r="C17" s="51" t="s">
        <v>723</v>
      </c>
      <c r="D17" s="51" t="s">
        <v>104</v>
      </c>
      <c r="E17" s="51" t="s">
        <v>58</v>
      </c>
      <c r="F17" s="51" t="s">
        <v>724</v>
      </c>
      <c r="G17" s="51" t="s">
        <v>192</v>
      </c>
      <c r="H17" s="51">
        <v>2.1153401867E11</v>
      </c>
      <c r="I17" s="51">
        <v>9.982012155E9</v>
      </c>
      <c r="J17" s="51" t="s">
        <v>725</v>
      </c>
      <c r="K17" s="51" t="s">
        <v>726</v>
      </c>
      <c r="L17" s="51">
        <v>330000.0</v>
      </c>
      <c r="P17" s="24">
        <f t="shared" si="1"/>
        <v>0</v>
      </c>
      <c r="Q17" s="61" t="s">
        <v>28</v>
      </c>
      <c r="R17" s="61" t="s">
        <v>69</v>
      </c>
      <c r="S17" s="61" t="s">
        <v>71</v>
      </c>
      <c r="T17" s="51" t="s">
        <v>194</v>
      </c>
      <c r="U17" s="16" t="s">
        <v>70</v>
      </c>
      <c r="V17" s="54" t="s">
        <v>72</v>
      </c>
      <c r="AA17" s="69">
        <f t="shared" si="2"/>
        <v>0</v>
      </c>
      <c r="AB17" s="69">
        <f t="shared" si="3"/>
        <v>0</v>
      </c>
      <c r="AC17" s="45">
        <f t="shared" si="4"/>
        <v>0</v>
      </c>
      <c r="AD17" s="69">
        <f t="shared" si="5"/>
        <v>0</v>
      </c>
      <c r="AE17" s="69">
        <f t="shared" si="6"/>
        <v>0</v>
      </c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</row>
    <row r="18">
      <c r="A18" s="43">
        <v>17.0</v>
      </c>
      <c r="B18" s="124" t="s">
        <v>41</v>
      </c>
      <c r="C18" s="124" t="s">
        <v>727</v>
      </c>
      <c r="D18" s="124" t="s">
        <v>43</v>
      </c>
      <c r="E18" s="124" t="s">
        <v>44</v>
      </c>
      <c r="F18" s="124" t="s">
        <v>134</v>
      </c>
      <c r="G18" s="124" t="s">
        <v>114</v>
      </c>
      <c r="H18" s="124">
        <v>2.11529021831E11</v>
      </c>
      <c r="I18" s="124">
        <v>9.660032534E9</v>
      </c>
      <c r="J18" s="124" t="s">
        <v>728</v>
      </c>
      <c r="K18" s="123"/>
      <c r="L18" s="124">
        <v>225000.0</v>
      </c>
      <c r="M18" s="123"/>
      <c r="N18" s="124">
        <v>2000.0</v>
      </c>
      <c r="O18" s="124">
        <v>200000.0</v>
      </c>
      <c r="P18" s="120">
        <f t="shared" si="1"/>
        <v>-200000</v>
      </c>
      <c r="Q18" s="121" t="s">
        <v>28</v>
      </c>
      <c r="R18" s="121" t="s">
        <v>69</v>
      </c>
      <c r="S18" s="122" t="s">
        <v>73</v>
      </c>
      <c r="T18" s="124"/>
      <c r="U18" s="118" t="s">
        <v>175</v>
      </c>
      <c r="V18" s="118" t="s">
        <v>176</v>
      </c>
      <c r="W18" s="124">
        <v>140000.0</v>
      </c>
      <c r="X18" s="123"/>
      <c r="Y18" s="123"/>
      <c r="Z18" s="123"/>
      <c r="AA18" s="123">
        <f t="shared" si="2"/>
        <v>-200000</v>
      </c>
      <c r="AB18" s="123">
        <f t="shared" si="3"/>
        <v>60000</v>
      </c>
      <c r="AC18" s="123">
        <f t="shared" si="4"/>
        <v>-198000</v>
      </c>
      <c r="AD18" s="123">
        <f t="shared" si="5"/>
        <v>-138000</v>
      </c>
      <c r="AE18" s="123">
        <f t="shared" si="6"/>
        <v>140000</v>
      </c>
      <c r="AF18" s="123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</row>
    <row r="19">
      <c r="A19" s="43">
        <v>18.0</v>
      </c>
      <c r="B19" s="124" t="s">
        <v>41</v>
      </c>
      <c r="C19" s="124" t="s">
        <v>729</v>
      </c>
      <c r="D19" s="124" t="s">
        <v>43</v>
      </c>
      <c r="E19" s="124" t="s">
        <v>44</v>
      </c>
      <c r="F19" s="124" t="s">
        <v>91</v>
      </c>
      <c r="G19" s="124" t="s">
        <v>93</v>
      </c>
      <c r="H19" s="124">
        <v>2.11541024194E11</v>
      </c>
      <c r="I19" s="124">
        <v>9.660724348E9</v>
      </c>
      <c r="J19" s="124" t="s">
        <v>730</v>
      </c>
      <c r="K19" s="124" t="s">
        <v>731</v>
      </c>
      <c r="L19" s="124">
        <v>225000.0</v>
      </c>
      <c r="M19" s="123"/>
      <c r="N19" s="124">
        <v>2000.0</v>
      </c>
      <c r="O19" s="124">
        <v>200000.0</v>
      </c>
      <c r="P19" s="120">
        <f t="shared" si="1"/>
        <v>-200000</v>
      </c>
      <c r="Q19" s="121" t="s">
        <v>28</v>
      </c>
      <c r="R19" s="121" t="s">
        <v>69</v>
      </c>
      <c r="S19" s="122" t="s">
        <v>73</v>
      </c>
      <c r="T19" s="124"/>
      <c r="U19" s="117" t="s">
        <v>70</v>
      </c>
      <c r="V19" s="118" t="s">
        <v>176</v>
      </c>
      <c r="W19" s="124">
        <v>140000.0</v>
      </c>
      <c r="X19" s="123"/>
      <c r="Y19" s="123"/>
      <c r="Z19" s="123"/>
      <c r="AA19" s="123">
        <f t="shared" si="2"/>
        <v>-200000</v>
      </c>
      <c r="AB19" s="123">
        <f t="shared" si="3"/>
        <v>60000</v>
      </c>
      <c r="AC19" s="123">
        <f t="shared" si="4"/>
        <v>-198000</v>
      </c>
      <c r="AD19" s="123">
        <f t="shared" si="5"/>
        <v>-138000</v>
      </c>
      <c r="AE19" s="123">
        <f t="shared" si="6"/>
        <v>140000</v>
      </c>
      <c r="AF19" s="123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</row>
    <row r="20">
      <c r="A20" s="43">
        <v>19.0</v>
      </c>
      <c r="B20" s="51" t="s">
        <v>41</v>
      </c>
      <c r="C20" s="51" t="s">
        <v>732</v>
      </c>
      <c r="D20" s="51" t="s">
        <v>43</v>
      </c>
      <c r="E20" s="51" t="s">
        <v>44</v>
      </c>
      <c r="F20" s="51" t="s">
        <v>114</v>
      </c>
      <c r="G20" s="51" t="s">
        <v>114</v>
      </c>
      <c r="H20" s="51">
        <v>2.11529027957E11</v>
      </c>
      <c r="I20" s="51" t="s">
        <v>733</v>
      </c>
      <c r="J20" s="51" t="s">
        <v>734</v>
      </c>
      <c r="L20" s="51">
        <v>220000.0</v>
      </c>
      <c r="O20" s="51">
        <v>198000.0</v>
      </c>
      <c r="P20" s="24">
        <f t="shared" si="1"/>
        <v>-198000</v>
      </c>
      <c r="Q20" s="61" t="s">
        <v>28</v>
      </c>
      <c r="R20" s="61" t="s">
        <v>69</v>
      </c>
      <c r="S20" s="53" t="s">
        <v>73</v>
      </c>
      <c r="T20" s="51" t="s">
        <v>194</v>
      </c>
      <c r="U20" s="16" t="s">
        <v>70</v>
      </c>
      <c r="V20" s="54" t="s">
        <v>72</v>
      </c>
      <c r="AA20" s="69">
        <f t="shared" si="2"/>
        <v>-198000</v>
      </c>
      <c r="AB20" s="69">
        <f t="shared" si="3"/>
        <v>198000</v>
      </c>
      <c r="AC20" s="45">
        <f t="shared" si="4"/>
        <v>-198000</v>
      </c>
      <c r="AD20" s="69">
        <f t="shared" si="5"/>
        <v>0</v>
      </c>
      <c r="AE20" s="69">
        <f t="shared" si="6"/>
        <v>0</v>
      </c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</row>
    <row r="21">
      <c r="A21" s="43">
        <v>20.0</v>
      </c>
      <c r="B21" s="124" t="s">
        <v>41</v>
      </c>
      <c r="C21" s="124" t="s">
        <v>735</v>
      </c>
      <c r="D21" s="124" t="s">
        <v>43</v>
      </c>
      <c r="E21" s="124" t="s">
        <v>44</v>
      </c>
      <c r="F21" s="124" t="s">
        <v>114</v>
      </c>
      <c r="G21" s="124" t="s">
        <v>114</v>
      </c>
      <c r="H21" s="124">
        <v>2.11529038865E11</v>
      </c>
      <c r="I21" s="124">
        <v>7.062232032E9</v>
      </c>
      <c r="J21" s="124" t="s">
        <v>736</v>
      </c>
      <c r="K21" s="126" t="s">
        <v>737</v>
      </c>
      <c r="L21" s="124">
        <v>225000.0</v>
      </c>
      <c r="M21" s="123"/>
      <c r="N21" s="124">
        <v>2000.0</v>
      </c>
      <c r="O21" s="124">
        <v>200000.0</v>
      </c>
      <c r="P21" s="120">
        <f t="shared" si="1"/>
        <v>-200000</v>
      </c>
      <c r="Q21" s="121" t="s">
        <v>28</v>
      </c>
      <c r="R21" s="121" t="s">
        <v>69</v>
      </c>
      <c r="S21" s="122" t="s">
        <v>73</v>
      </c>
      <c r="T21" s="124"/>
      <c r="U21" s="117" t="s">
        <v>70</v>
      </c>
      <c r="V21" s="118" t="s">
        <v>176</v>
      </c>
      <c r="W21" s="124">
        <v>140000.0</v>
      </c>
      <c r="X21" s="123"/>
      <c r="Y21" s="123"/>
      <c r="Z21" s="123"/>
      <c r="AA21" s="123">
        <f t="shared" si="2"/>
        <v>-200000</v>
      </c>
      <c r="AB21" s="123">
        <f t="shared" si="3"/>
        <v>60000</v>
      </c>
      <c r="AC21" s="123">
        <f t="shared" si="4"/>
        <v>-198000</v>
      </c>
      <c r="AD21" s="123">
        <f t="shared" si="5"/>
        <v>-138000</v>
      </c>
      <c r="AE21" s="123">
        <f t="shared" si="6"/>
        <v>140000</v>
      </c>
      <c r="AF21" s="123"/>
    </row>
    <row r="22">
      <c r="A22" s="43">
        <v>21.0</v>
      </c>
      <c r="B22" s="51" t="s">
        <v>41</v>
      </c>
      <c r="C22" s="51" t="s">
        <v>738</v>
      </c>
      <c r="D22" s="51" t="s">
        <v>43</v>
      </c>
      <c r="E22" s="51" t="s">
        <v>44</v>
      </c>
      <c r="F22" s="51" t="s">
        <v>192</v>
      </c>
      <c r="G22" s="51" t="s">
        <v>192</v>
      </c>
      <c r="H22" s="51">
        <v>2.11534052241E11</v>
      </c>
      <c r="I22" s="51">
        <v>8.952871961E9</v>
      </c>
      <c r="J22" s="51" t="s">
        <v>739</v>
      </c>
      <c r="K22" s="51" t="s">
        <v>740</v>
      </c>
      <c r="L22" s="51">
        <v>225000.0</v>
      </c>
      <c r="O22" s="51">
        <v>200000.0</v>
      </c>
      <c r="P22" s="24">
        <f t="shared" si="1"/>
        <v>-200000</v>
      </c>
      <c r="Q22" s="61" t="s">
        <v>28</v>
      </c>
      <c r="R22" s="61" t="s">
        <v>69</v>
      </c>
      <c r="S22" s="53" t="s">
        <v>73</v>
      </c>
      <c r="T22" s="51" t="s">
        <v>194</v>
      </c>
      <c r="U22" s="16" t="s">
        <v>70</v>
      </c>
      <c r="V22" s="54" t="s">
        <v>72</v>
      </c>
      <c r="AA22" s="69">
        <f t="shared" si="2"/>
        <v>-200000</v>
      </c>
      <c r="AB22" s="69">
        <f t="shared" si="3"/>
        <v>200000</v>
      </c>
      <c r="AC22" s="45">
        <f t="shared" si="4"/>
        <v>-200000</v>
      </c>
      <c r="AD22" s="69">
        <f t="shared" si="5"/>
        <v>0</v>
      </c>
      <c r="AE22" s="69">
        <f t="shared" si="6"/>
        <v>0</v>
      </c>
    </row>
    <row r="23">
      <c r="A23" s="43">
        <v>22.0</v>
      </c>
      <c r="B23" s="123"/>
      <c r="C23" s="124" t="s">
        <v>741</v>
      </c>
      <c r="D23" s="124" t="s">
        <v>43</v>
      </c>
      <c r="E23" s="124" t="s">
        <v>44</v>
      </c>
      <c r="F23" s="124" t="s">
        <v>91</v>
      </c>
      <c r="G23" s="124" t="s">
        <v>93</v>
      </c>
      <c r="H23" s="124">
        <v>2.11541041283E11</v>
      </c>
      <c r="I23" s="124">
        <v>7.006858409E9</v>
      </c>
      <c r="J23" s="124" t="s">
        <v>742</v>
      </c>
      <c r="K23" s="123"/>
      <c r="L23" s="124">
        <v>225000.0</v>
      </c>
      <c r="M23" s="124">
        <v>200000.0</v>
      </c>
      <c r="N23" s="124">
        <v>2000.0</v>
      </c>
      <c r="O23" s="124">
        <v>190000.0</v>
      </c>
      <c r="P23" s="120">
        <f t="shared" si="1"/>
        <v>10000</v>
      </c>
      <c r="Q23" s="122" t="s">
        <v>28</v>
      </c>
      <c r="R23" s="121" t="s">
        <v>69</v>
      </c>
      <c r="S23" s="122" t="s">
        <v>71</v>
      </c>
      <c r="T23" s="123"/>
      <c r="U23" s="117" t="s">
        <v>70</v>
      </c>
      <c r="V23" s="118" t="s">
        <v>176</v>
      </c>
      <c r="W23" s="124">
        <v>133000.0</v>
      </c>
      <c r="X23" s="123"/>
      <c r="Y23" s="123"/>
      <c r="Z23" s="123"/>
      <c r="AA23" s="123">
        <f t="shared" si="2"/>
        <v>10000</v>
      </c>
      <c r="AB23" s="123">
        <f t="shared" si="3"/>
        <v>57000</v>
      </c>
      <c r="AC23" s="123">
        <f t="shared" si="4"/>
        <v>-188000</v>
      </c>
      <c r="AD23" s="123">
        <f t="shared" si="5"/>
        <v>-131000</v>
      </c>
      <c r="AE23" s="123">
        <f t="shared" si="6"/>
        <v>133000</v>
      </c>
      <c r="AF23" s="123"/>
    </row>
    <row r="24">
      <c r="A24" s="43">
        <v>23.0</v>
      </c>
      <c r="B24" s="45"/>
      <c r="C24" s="47" t="s">
        <v>743</v>
      </c>
      <c r="D24" s="47" t="s">
        <v>43</v>
      </c>
      <c r="E24" s="47" t="s">
        <v>44</v>
      </c>
      <c r="F24" s="47" t="s">
        <v>134</v>
      </c>
      <c r="G24" s="47" t="s">
        <v>744</v>
      </c>
      <c r="H24" s="47">
        <v>2.10474056335E11</v>
      </c>
      <c r="I24" s="47">
        <v>9.602958544E9</v>
      </c>
      <c r="J24" s="47" t="s">
        <v>745</v>
      </c>
      <c r="K24" s="45"/>
      <c r="L24" s="47">
        <v>150000.0</v>
      </c>
      <c r="M24" s="47">
        <v>150000.0</v>
      </c>
      <c r="N24" s="45"/>
      <c r="O24" s="47">
        <v>0.0</v>
      </c>
      <c r="P24" s="24">
        <f t="shared" si="1"/>
        <v>150000</v>
      </c>
      <c r="Q24" s="46" t="s">
        <v>66</v>
      </c>
      <c r="R24" s="129" t="s">
        <v>69</v>
      </c>
      <c r="S24" s="46" t="s">
        <v>74</v>
      </c>
      <c r="T24" s="47" t="s">
        <v>194</v>
      </c>
      <c r="U24" s="37" t="s">
        <v>70</v>
      </c>
      <c r="V24" s="59" t="s">
        <v>72</v>
      </c>
      <c r="W24" s="45"/>
      <c r="X24" s="45"/>
      <c r="Y24" s="45"/>
      <c r="Z24" s="45"/>
      <c r="AA24" s="45">
        <f t="shared" si="2"/>
        <v>150000</v>
      </c>
      <c r="AB24" s="45">
        <f t="shared" si="3"/>
        <v>0</v>
      </c>
      <c r="AC24" s="45">
        <f t="shared" si="4"/>
        <v>0</v>
      </c>
      <c r="AD24" s="45">
        <f t="shared" si="5"/>
        <v>0</v>
      </c>
      <c r="AE24" s="45">
        <f t="shared" si="6"/>
        <v>0</v>
      </c>
    </row>
    <row r="25">
      <c r="A25" s="43">
        <v>24.0</v>
      </c>
      <c r="B25" s="123"/>
      <c r="C25" s="124" t="s">
        <v>746</v>
      </c>
      <c r="D25" s="124" t="s">
        <v>43</v>
      </c>
      <c r="E25" s="124" t="s">
        <v>44</v>
      </c>
      <c r="F25" s="124" t="s">
        <v>134</v>
      </c>
      <c r="G25" s="124" t="s">
        <v>114</v>
      </c>
      <c r="H25" s="124">
        <v>2.11529012293E11</v>
      </c>
      <c r="I25" s="124">
        <v>7.618141701E9</v>
      </c>
      <c r="J25" s="124" t="s">
        <v>747</v>
      </c>
      <c r="K25" s="123"/>
      <c r="L25" s="124">
        <v>225000.0</v>
      </c>
      <c r="M25" s="124">
        <v>200000.0</v>
      </c>
      <c r="N25" s="124">
        <v>2000.0</v>
      </c>
      <c r="O25" s="124">
        <v>200000.0</v>
      </c>
      <c r="P25" s="120">
        <f t="shared" si="1"/>
        <v>0</v>
      </c>
      <c r="Q25" s="122" t="s">
        <v>66</v>
      </c>
      <c r="R25" s="121" t="s">
        <v>69</v>
      </c>
      <c r="S25" s="122" t="s">
        <v>71</v>
      </c>
      <c r="T25" s="124"/>
      <c r="U25" s="117" t="s">
        <v>70</v>
      </c>
      <c r="V25" s="118" t="s">
        <v>176</v>
      </c>
      <c r="W25" s="124">
        <v>140000.0</v>
      </c>
      <c r="X25" s="123"/>
      <c r="Y25" s="123"/>
      <c r="Z25" s="123"/>
      <c r="AA25" s="123">
        <f t="shared" si="2"/>
        <v>0</v>
      </c>
      <c r="AB25" s="123">
        <f t="shared" si="3"/>
        <v>60000</v>
      </c>
      <c r="AC25" s="123">
        <f t="shared" si="4"/>
        <v>-198000</v>
      </c>
      <c r="AD25" s="123">
        <f t="shared" si="5"/>
        <v>-138000</v>
      </c>
      <c r="AE25" s="123">
        <f t="shared" si="6"/>
        <v>140000</v>
      </c>
      <c r="AF25" s="123"/>
    </row>
    <row r="26">
      <c r="A26" s="43">
        <v>25.0</v>
      </c>
      <c r="C26" s="51" t="s">
        <v>748</v>
      </c>
      <c r="D26" s="51" t="s">
        <v>104</v>
      </c>
      <c r="F26" s="51" t="s">
        <v>192</v>
      </c>
      <c r="G26" s="51" t="s">
        <v>192</v>
      </c>
      <c r="H26" s="51">
        <v>2.11534063633E11</v>
      </c>
      <c r="I26" s="51">
        <v>9.636395002E9</v>
      </c>
      <c r="J26" s="130" t="s">
        <v>749</v>
      </c>
      <c r="L26" s="51">
        <v>225000.0</v>
      </c>
      <c r="P26" s="24">
        <f t="shared" si="1"/>
        <v>0</v>
      </c>
      <c r="Q26" s="53" t="s">
        <v>66</v>
      </c>
      <c r="R26" s="61" t="s">
        <v>69</v>
      </c>
      <c r="S26" s="53" t="s">
        <v>71</v>
      </c>
      <c r="T26" s="51" t="s">
        <v>194</v>
      </c>
      <c r="U26" s="16" t="s">
        <v>70</v>
      </c>
      <c r="V26" s="54" t="s">
        <v>72</v>
      </c>
      <c r="AA26" s="69">
        <f t="shared" si="2"/>
        <v>0</v>
      </c>
      <c r="AB26" s="69">
        <f t="shared" si="3"/>
        <v>0</v>
      </c>
      <c r="AC26" s="45">
        <f t="shared" si="4"/>
        <v>0</v>
      </c>
      <c r="AD26" s="69">
        <f t="shared" si="5"/>
        <v>0</v>
      </c>
      <c r="AE26" s="69">
        <f t="shared" si="6"/>
        <v>0</v>
      </c>
    </row>
    <row r="27">
      <c r="A27" s="43">
        <v>26.0</v>
      </c>
      <c r="C27" s="51" t="s">
        <v>750</v>
      </c>
      <c r="D27" s="51" t="s">
        <v>43</v>
      </c>
      <c r="E27" s="51" t="s">
        <v>44</v>
      </c>
      <c r="F27" s="51" t="s">
        <v>134</v>
      </c>
      <c r="G27" s="51" t="s">
        <v>114</v>
      </c>
      <c r="H27" s="51">
        <v>2.11529011054E11</v>
      </c>
      <c r="I27" s="51">
        <v>9.63617904E9</v>
      </c>
      <c r="J27" s="130" t="s">
        <v>751</v>
      </c>
      <c r="L27" s="51">
        <v>225000.0</v>
      </c>
      <c r="M27" s="51">
        <v>200000.0</v>
      </c>
      <c r="O27" s="51">
        <v>200000.0</v>
      </c>
      <c r="P27" s="24">
        <f t="shared" si="1"/>
        <v>0</v>
      </c>
      <c r="Q27" s="53" t="s">
        <v>66</v>
      </c>
      <c r="R27" s="61" t="s">
        <v>69</v>
      </c>
      <c r="S27" s="53" t="s">
        <v>71</v>
      </c>
      <c r="T27" s="51" t="s">
        <v>194</v>
      </c>
      <c r="U27" s="16" t="s">
        <v>70</v>
      </c>
      <c r="V27" s="54" t="s">
        <v>72</v>
      </c>
      <c r="AA27" s="69">
        <f t="shared" si="2"/>
        <v>0</v>
      </c>
      <c r="AB27" s="69">
        <f t="shared" si="3"/>
        <v>200000</v>
      </c>
      <c r="AC27" s="45">
        <f t="shared" si="4"/>
        <v>-200000</v>
      </c>
      <c r="AD27" s="69">
        <f t="shared" si="5"/>
        <v>0</v>
      </c>
      <c r="AE27" s="69">
        <f t="shared" si="6"/>
        <v>0</v>
      </c>
    </row>
    <row r="28">
      <c r="A28" s="43">
        <v>27.0</v>
      </c>
      <c r="C28" s="51" t="s">
        <v>752</v>
      </c>
      <c r="D28" s="51" t="s">
        <v>104</v>
      </c>
      <c r="E28" s="51" t="s">
        <v>44</v>
      </c>
      <c r="F28" s="51" t="s">
        <v>91</v>
      </c>
      <c r="G28" s="51" t="s">
        <v>93</v>
      </c>
      <c r="H28" s="51">
        <v>2.11541037379E11</v>
      </c>
      <c r="I28" s="51">
        <v>7.851066584E9</v>
      </c>
      <c r="J28" s="51" t="s">
        <v>753</v>
      </c>
      <c r="L28" s="51">
        <v>225000.0</v>
      </c>
      <c r="M28" s="51">
        <v>200000.0</v>
      </c>
      <c r="O28" s="51">
        <v>200000.0</v>
      </c>
      <c r="P28" s="24">
        <f t="shared" si="1"/>
        <v>0</v>
      </c>
      <c r="Q28" s="53" t="s">
        <v>66</v>
      </c>
      <c r="R28" s="61" t="s">
        <v>69</v>
      </c>
      <c r="S28" s="53" t="s">
        <v>71</v>
      </c>
      <c r="T28" s="51" t="s">
        <v>194</v>
      </c>
      <c r="U28" s="16" t="s">
        <v>70</v>
      </c>
      <c r="V28" s="54" t="s">
        <v>72</v>
      </c>
      <c r="AA28" s="69">
        <f t="shared" si="2"/>
        <v>0</v>
      </c>
      <c r="AB28" s="69">
        <f t="shared" si="3"/>
        <v>200000</v>
      </c>
      <c r="AC28" s="45">
        <f t="shared" si="4"/>
        <v>-200000</v>
      </c>
      <c r="AD28" s="69">
        <f t="shared" si="5"/>
        <v>0</v>
      </c>
      <c r="AE28" s="69">
        <f t="shared" si="6"/>
        <v>0</v>
      </c>
    </row>
    <row r="29">
      <c r="A29" s="43">
        <v>28.0</v>
      </c>
      <c r="C29" s="51" t="s">
        <v>760</v>
      </c>
      <c r="D29" s="51" t="s">
        <v>104</v>
      </c>
      <c r="E29" s="51" t="s">
        <v>44</v>
      </c>
      <c r="F29" s="51" t="s">
        <v>92</v>
      </c>
      <c r="G29" s="51" t="s">
        <v>92</v>
      </c>
      <c r="H29" s="51">
        <v>2.115430253E11</v>
      </c>
      <c r="I29" s="51">
        <v>9.982510591E9</v>
      </c>
      <c r="J29" s="51" t="s">
        <v>764</v>
      </c>
      <c r="L29" s="51">
        <v>225000.0</v>
      </c>
      <c r="M29" s="51">
        <v>200000.0</v>
      </c>
      <c r="O29" s="51">
        <v>200000.0</v>
      </c>
      <c r="P29" s="24">
        <f t="shared" si="1"/>
        <v>0</v>
      </c>
      <c r="Q29" s="53" t="s">
        <v>66</v>
      </c>
      <c r="R29" s="61" t="s">
        <v>69</v>
      </c>
      <c r="S29" s="53" t="s">
        <v>71</v>
      </c>
      <c r="T29" s="51" t="s">
        <v>194</v>
      </c>
      <c r="U29" s="16" t="s">
        <v>70</v>
      </c>
      <c r="V29" s="54" t="s">
        <v>72</v>
      </c>
      <c r="AA29" s="69">
        <f t="shared" si="2"/>
        <v>0</v>
      </c>
      <c r="AB29" s="69">
        <f t="shared" si="3"/>
        <v>200000</v>
      </c>
      <c r="AC29" s="45">
        <f t="shared" si="4"/>
        <v>-200000</v>
      </c>
      <c r="AD29" s="69">
        <f t="shared" si="5"/>
        <v>0</v>
      </c>
      <c r="AE29" s="69">
        <f t="shared" si="6"/>
        <v>0</v>
      </c>
    </row>
    <row r="30">
      <c r="A30" s="43">
        <v>29.0</v>
      </c>
      <c r="C30" s="51" t="s">
        <v>770</v>
      </c>
      <c r="D30" s="51" t="s">
        <v>43</v>
      </c>
      <c r="E30" s="51" t="s">
        <v>44</v>
      </c>
      <c r="F30" s="51" t="s">
        <v>404</v>
      </c>
      <c r="G30" s="51" t="s">
        <v>124</v>
      </c>
      <c r="H30" s="51">
        <v>2.11525008286E11</v>
      </c>
      <c r="I30" s="51">
        <v>9.983311557E9</v>
      </c>
      <c r="J30" s="51" t="s">
        <v>774</v>
      </c>
      <c r="L30" s="51">
        <v>225000.0</v>
      </c>
      <c r="M30" s="51">
        <v>200000.0</v>
      </c>
      <c r="O30" s="51">
        <v>200000.0</v>
      </c>
      <c r="P30" s="24">
        <f t="shared" si="1"/>
        <v>0</v>
      </c>
      <c r="Q30" s="53" t="s">
        <v>66</v>
      </c>
      <c r="R30" s="61" t="s">
        <v>69</v>
      </c>
      <c r="S30" s="53" t="s">
        <v>71</v>
      </c>
      <c r="T30" s="51" t="s">
        <v>194</v>
      </c>
      <c r="U30" s="16" t="s">
        <v>70</v>
      </c>
      <c r="V30" s="54" t="s">
        <v>72</v>
      </c>
      <c r="AA30" s="69">
        <f t="shared" si="2"/>
        <v>0</v>
      </c>
      <c r="AB30" s="69">
        <f t="shared" si="3"/>
        <v>200000</v>
      </c>
      <c r="AC30" s="45">
        <f t="shared" si="4"/>
        <v>-200000</v>
      </c>
      <c r="AD30" s="69">
        <f t="shared" si="5"/>
        <v>0</v>
      </c>
      <c r="AE30" s="69">
        <f t="shared" si="6"/>
        <v>0</v>
      </c>
    </row>
  </sheetData>
  <dataValidations>
    <dataValidation type="list" allowBlank="1" showErrorMessage="1" sqref="T2:T4 T13:T15 T17 T20 T22 T24 T26:T30">
      <formula1>"Work Not Started Yet,Measrument Done,Material &amp; Team Reached,Structure Work,Panel,Inverter pending,Project On Hold,I&amp;C Completed"</formula1>
    </dataValidation>
    <dataValidation type="list" allowBlank="1" showErrorMessage="1" sqref="Q2:Q30">
      <formula1>"Doc Recieved,File login,COMPLET"</formula1>
    </dataValidation>
    <dataValidation type="list" allowBlank="1" showErrorMessage="1" sqref="S2:S30">
      <formula1>"Loan apply,File prepare,File into bank,Loan approved,Loan Rejected,CASH FILE"</formula1>
    </dataValidation>
    <dataValidation type="list" allowBlank="1" showErrorMessage="1" sqref="U2:U30">
      <formula1>"Pending,Meter &amp; File submit DISCOM,Net Metering,Subsidy apply with site photo,Subsidy granted"</formula1>
    </dataValidation>
    <dataValidation type="list" allowBlank="1" showErrorMessage="1" sqref="V2:V30">
      <formula1>"Cash To Mahi,1st Installment Received,2ns Installment Received,Payment Not Received Yet,Payment Due"</formula1>
    </dataValidation>
    <dataValidation type="list" allowBlank="1" showErrorMessage="1" sqref="R2:R30">
      <formula1>"Center (78K),Both (78 + 17),WITH OUT SUBSIDY"</formula1>
    </dataValidation>
  </dataValidations>
  <hyperlinks>
    <hyperlink r:id="rId1" ref="H1"/>
    <hyperlink r:id="rId2" ref="J2"/>
    <hyperlink r:id="rId3" ref="K13"/>
    <hyperlink r:id="rId4" ref="K21"/>
    <hyperlink r:id="rId5" ref="J26"/>
    <hyperlink r:id="rId6" ref="J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11.25"/>
    <col customWidth="1" min="3" max="3" width="22.13"/>
    <col customWidth="1" min="4" max="4" width="4.63"/>
    <col customWidth="1" min="5" max="5" width="4.25"/>
    <col customWidth="1" min="6" max="6" width="11.5"/>
    <col customWidth="1" min="7" max="7" width="11.88"/>
    <col customWidth="1" min="8" max="8" width="12.13"/>
    <col customWidth="1" min="9" max="9" width="10.25"/>
    <col customWidth="1" min="10" max="10" width="32.63"/>
    <col customWidth="1" min="11" max="11" width="20.88"/>
    <col customWidth="1" min="12" max="12" width="16.75"/>
    <col customWidth="1" min="13" max="13" width="20.0"/>
    <col customWidth="1" min="14" max="14" width="13.25"/>
    <col customWidth="1" min="15" max="15" width="6.5"/>
    <col customWidth="1" min="16" max="16" width="5.63"/>
    <col customWidth="1" min="17" max="17" width="12.63"/>
    <col customWidth="1" min="18" max="18" width="15.38"/>
    <col customWidth="1" min="19" max="19" width="16.0"/>
    <col customWidth="1" min="20" max="20" width="21.5"/>
    <col customWidth="1" min="21" max="21" width="27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8.38"/>
  </cols>
  <sheetData>
    <row r="1">
      <c r="A1" s="1">
        <v>3.0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5.75" customHeight="1">
      <c r="A2" s="38">
        <v>1.0</v>
      </c>
      <c r="B2" s="38" t="s">
        <v>397</v>
      </c>
      <c r="C2" s="38" t="s">
        <v>696</v>
      </c>
      <c r="D2" s="38" t="s">
        <v>104</v>
      </c>
      <c r="E2" s="38" t="s">
        <v>44</v>
      </c>
      <c r="F2" s="38" t="s">
        <v>697</v>
      </c>
      <c r="G2" s="38" t="s">
        <v>215</v>
      </c>
      <c r="H2" s="38">
        <v>2.10416018241E11</v>
      </c>
      <c r="I2" s="38">
        <v>9.950114385E9</v>
      </c>
      <c r="J2" s="38" t="s">
        <v>698</v>
      </c>
      <c r="K2" s="42"/>
      <c r="L2" s="38">
        <v>270000.0</v>
      </c>
      <c r="M2" s="38">
        <v>270000.0</v>
      </c>
      <c r="N2" s="38"/>
      <c r="O2" s="38">
        <v>0.0</v>
      </c>
      <c r="P2" s="38"/>
      <c r="Q2" s="30" t="s">
        <v>28</v>
      </c>
      <c r="R2" s="31" t="s">
        <v>69</v>
      </c>
      <c r="S2" s="30" t="s">
        <v>74</v>
      </c>
      <c r="T2" s="51" t="s">
        <v>84</v>
      </c>
      <c r="U2" s="35" t="s">
        <v>207</v>
      </c>
      <c r="V2" s="54" t="s">
        <v>125</v>
      </c>
      <c r="W2" s="42"/>
      <c r="X2" s="42"/>
      <c r="Y2" s="42"/>
      <c r="Z2" s="42"/>
      <c r="AA2" s="69">
        <f t="shared" ref="AA2:AA4" si="1">P2-Y2-Z2</f>
        <v>0</v>
      </c>
      <c r="AB2" s="69">
        <f t="shared" ref="AB2:AB4" si="2">O2-W2-X2</f>
        <v>0</v>
      </c>
      <c r="AC2" s="69">
        <f t="shared" ref="AC2:AC4" si="3">AD2-AB2</f>
        <v>0</v>
      </c>
      <c r="AD2" s="69">
        <f t="shared" ref="AD2:AD4" si="4">N2-(W2+X2+Y2)</f>
        <v>0</v>
      </c>
      <c r="AE2" s="69">
        <f t="shared" ref="AE2:AE4" si="5">W2+X2+Y2+Z2</f>
        <v>0</v>
      </c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</row>
    <row r="3">
      <c r="A3" s="38">
        <v>2.0</v>
      </c>
      <c r="B3" s="38" t="s">
        <v>41</v>
      </c>
      <c r="C3" s="38" t="s">
        <v>700</v>
      </c>
      <c r="D3" s="38" t="s">
        <v>226</v>
      </c>
      <c r="E3" s="38" t="s">
        <v>44</v>
      </c>
      <c r="F3" s="42"/>
      <c r="G3" s="38" t="s">
        <v>701</v>
      </c>
      <c r="H3" s="38">
        <v>2.11483068188E11</v>
      </c>
      <c r="I3" s="38">
        <v>9.92889693E9</v>
      </c>
      <c r="J3" s="38" t="s">
        <v>703</v>
      </c>
      <c r="K3" s="38" t="s">
        <v>704</v>
      </c>
      <c r="L3" s="38">
        <v>225000.0</v>
      </c>
      <c r="M3" s="38">
        <v>290000.0</v>
      </c>
      <c r="N3" s="42"/>
      <c r="O3" s="38">
        <v>200000.0</v>
      </c>
      <c r="P3" s="38">
        <f>M3-O3</f>
        <v>90000</v>
      </c>
      <c r="Q3" s="31" t="s">
        <v>28</v>
      </c>
      <c r="R3" s="31" t="s">
        <v>69</v>
      </c>
      <c r="S3" s="30" t="s">
        <v>73</v>
      </c>
      <c r="T3" s="51" t="s">
        <v>84</v>
      </c>
      <c r="U3" s="35" t="s">
        <v>207</v>
      </c>
      <c r="V3" s="54" t="s">
        <v>176</v>
      </c>
      <c r="W3" s="38">
        <v>140000.0</v>
      </c>
      <c r="X3" s="42"/>
      <c r="Y3" s="42"/>
      <c r="Z3" s="42"/>
      <c r="AA3" s="42">
        <f t="shared" si="1"/>
        <v>90000</v>
      </c>
      <c r="AB3" s="42">
        <f t="shared" si="2"/>
        <v>60000</v>
      </c>
      <c r="AC3" s="42">
        <f t="shared" si="3"/>
        <v>-200000</v>
      </c>
      <c r="AD3" s="42">
        <f t="shared" si="4"/>
        <v>-140000</v>
      </c>
      <c r="AE3" s="42">
        <f t="shared" si="5"/>
        <v>140000</v>
      </c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</row>
    <row r="4">
      <c r="A4" s="47">
        <v>3.0</v>
      </c>
      <c r="B4" s="51" t="s">
        <v>397</v>
      </c>
      <c r="C4" s="51" t="s">
        <v>707</v>
      </c>
      <c r="D4" s="51" t="s">
        <v>226</v>
      </c>
      <c r="E4" s="51" t="s">
        <v>44</v>
      </c>
      <c r="H4" s="51">
        <v>2.11483067929E11</v>
      </c>
      <c r="I4" s="51">
        <v>9.461046995E9</v>
      </c>
      <c r="J4" s="51" t="s">
        <v>708</v>
      </c>
      <c r="Q4" s="61" t="s">
        <v>28</v>
      </c>
      <c r="R4" s="61" t="s">
        <v>69</v>
      </c>
      <c r="S4" s="53" t="s">
        <v>74</v>
      </c>
      <c r="T4" s="51" t="s">
        <v>194</v>
      </c>
      <c r="U4" s="16" t="s">
        <v>70</v>
      </c>
      <c r="V4" s="54" t="s">
        <v>72</v>
      </c>
      <c r="AA4" s="69">
        <f t="shared" si="1"/>
        <v>0</v>
      </c>
      <c r="AB4" s="69">
        <f t="shared" si="2"/>
        <v>0</v>
      </c>
      <c r="AC4" s="69">
        <f t="shared" si="3"/>
        <v>0</v>
      </c>
      <c r="AD4" s="69">
        <f t="shared" si="4"/>
        <v>0</v>
      </c>
      <c r="AE4" s="69">
        <f t="shared" si="5"/>
        <v>0</v>
      </c>
    </row>
    <row r="5">
      <c r="A5" s="51">
        <v>4.0</v>
      </c>
      <c r="B5" s="51" t="s">
        <v>397</v>
      </c>
      <c r="C5" s="51" t="s">
        <v>709</v>
      </c>
      <c r="D5" s="51" t="s">
        <v>226</v>
      </c>
      <c r="E5" s="51" t="s">
        <v>44</v>
      </c>
      <c r="I5" s="51">
        <v>9.829766216E9</v>
      </c>
      <c r="K5" s="128" t="s">
        <v>710</v>
      </c>
      <c r="Q5" s="61" t="s">
        <v>28</v>
      </c>
      <c r="R5" s="61" t="s">
        <v>69</v>
      </c>
      <c r="S5" s="53" t="s">
        <v>74</v>
      </c>
      <c r="T5" s="51" t="s">
        <v>84</v>
      </c>
      <c r="U5" s="16" t="s">
        <v>70</v>
      </c>
      <c r="V5" s="54" t="s">
        <v>72</v>
      </c>
    </row>
    <row r="6">
      <c r="A6" s="51">
        <v>5.0</v>
      </c>
      <c r="B6" s="51" t="s">
        <v>397</v>
      </c>
      <c r="C6" s="51" t="s">
        <v>712</v>
      </c>
      <c r="D6" s="51" t="s">
        <v>226</v>
      </c>
      <c r="E6" s="51" t="s">
        <v>44</v>
      </c>
      <c r="I6" s="51">
        <v>9.024680333E9</v>
      </c>
      <c r="K6" s="51" t="s">
        <v>714</v>
      </c>
      <c r="Q6" s="61" t="s">
        <v>28</v>
      </c>
      <c r="R6" s="61" t="s">
        <v>69</v>
      </c>
      <c r="S6" s="53" t="s">
        <v>74</v>
      </c>
      <c r="T6" s="51" t="s">
        <v>84</v>
      </c>
      <c r="U6" s="16" t="s">
        <v>70</v>
      </c>
      <c r="V6" s="54" t="s">
        <v>72</v>
      </c>
    </row>
    <row r="7">
      <c r="A7" s="51">
        <v>6.0</v>
      </c>
      <c r="B7" s="51" t="s">
        <v>397</v>
      </c>
      <c r="C7" s="51" t="s">
        <v>718</v>
      </c>
      <c r="D7" s="51" t="s">
        <v>719</v>
      </c>
      <c r="E7" s="51" t="s">
        <v>44</v>
      </c>
      <c r="Q7" s="61" t="s">
        <v>28</v>
      </c>
      <c r="R7" s="61" t="s">
        <v>69</v>
      </c>
      <c r="S7" s="53" t="s">
        <v>74</v>
      </c>
      <c r="T7" s="51" t="s">
        <v>194</v>
      </c>
      <c r="U7" s="16" t="s">
        <v>70</v>
      </c>
      <c r="V7" s="54" t="s">
        <v>72</v>
      </c>
    </row>
  </sheetData>
  <dataValidations>
    <dataValidation type="list" allowBlank="1" showErrorMessage="1" sqref="T2:T7">
      <formula1>"Work Not Started Yet,Measrument Done,Material &amp; Team Reached,Structure Work,Panel,Inverter pending,Project On Hold,I&amp;C Completed"</formula1>
    </dataValidation>
    <dataValidation type="list" allowBlank="1" showErrorMessage="1" sqref="Q2:Q7">
      <formula1>"Doc Recieved,File login,COMPLET"</formula1>
    </dataValidation>
    <dataValidation type="list" allowBlank="1" showErrorMessage="1" sqref="S2:S7">
      <formula1>"Loan apply,File prepare,File into bank,Loan approved,Loan Rejected,CASH FILE"</formula1>
    </dataValidation>
    <dataValidation type="list" allowBlank="1" showErrorMessage="1" sqref="U2:U7">
      <formula1>"Pending,Meter &amp; File submit DISCOM,Net Metering,Subsidy apply with site photo,Subsidy granted"</formula1>
    </dataValidation>
    <dataValidation type="list" allowBlank="1" showErrorMessage="1" sqref="V2:V7">
      <formula1>"Cash To Mahi,1st Installment Received,2ns Installment Received,Payment Not Received Yet,Payment Due"</formula1>
    </dataValidation>
    <dataValidation type="list" allowBlank="1" showErrorMessage="1" sqref="R2:R7">
      <formula1>"Center (78K),Both (78 + 17),WITH OUT SUBSIDY"</formula1>
    </dataValidation>
  </dataValidations>
  <hyperlinks>
    <hyperlink r:id="rId1" ref="H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7.5"/>
    <col customWidth="1" min="3" max="3" width="16.5"/>
    <col customWidth="1" min="4" max="4" width="6.0"/>
    <col customWidth="1" min="5" max="5" width="4.88"/>
    <col customWidth="1" min="6" max="6" width="39.25"/>
    <col customWidth="1" min="8" max="8" width="21.5"/>
    <col customWidth="1" min="10" max="10" width="15.5"/>
  </cols>
  <sheetData>
    <row r="1">
      <c r="A1" s="124" t="s">
        <v>754</v>
      </c>
      <c r="B1" s="124" t="s">
        <v>755</v>
      </c>
      <c r="C1" s="124" t="s">
        <v>756</v>
      </c>
      <c r="D1" s="124" t="s">
        <v>757</v>
      </c>
      <c r="E1" s="124" t="s">
        <v>758</v>
      </c>
      <c r="F1" s="124" t="s">
        <v>759</v>
      </c>
      <c r="G1" s="124" t="s">
        <v>761</v>
      </c>
      <c r="H1" s="124" t="s">
        <v>24</v>
      </c>
      <c r="I1" s="124" t="s">
        <v>762</v>
      </c>
      <c r="J1" s="124" t="s">
        <v>763</v>
      </c>
      <c r="K1" s="124"/>
      <c r="L1" s="124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>
      <c r="A2" s="51">
        <v>1.0</v>
      </c>
      <c r="B2" s="51" t="s">
        <v>102</v>
      </c>
      <c r="C2" s="51" t="s">
        <v>709</v>
      </c>
      <c r="D2" s="51" t="s">
        <v>765</v>
      </c>
      <c r="E2" s="51" t="s">
        <v>156</v>
      </c>
      <c r="F2" s="128" t="s">
        <v>710</v>
      </c>
      <c r="G2" s="51">
        <v>9.829766216E9</v>
      </c>
      <c r="H2" s="51" t="s">
        <v>84</v>
      </c>
    </row>
    <row r="3">
      <c r="A3" s="51">
        <v>2.0</v>
      </c>
      <c r="B3" s="51" t="s">
        <v>102</v>
      </c>
      <c r="C3" s="51" t="s">
        <v>712</v>
      </c>
      <c r="D3" s="51" t="s">
        <v>765</v>
      </c>
      <c r="E3" s="51" t="s">
        <v>156</v>
      </c>
      <c r="F3" s="51" t="s">
        <v>714</v>
      </c>
      <c r="G3" s="51">
        <v>9.024680333E9</v>
      </c>
      <c r="H3" s="51" t="s">
        <v>84</v>
      </c>
    </row>
    <row r="4">
      <c r="A4" s="51">
        <v>3.0</v>
      </c>
      <c r="B4" s="51" t="s">
        <v>102</v>
      </c>
      <c r="C4" s="51" t="s">
        <v>766</v>
      </c>
      <c r="D4" s="51" t="s">
        <v>765</v>
      </c>
      <c r="E4" s="51" t="s">
        <v>58</v>
      </c>
      <c r="H4" s="51" t="s">
        <v>84</v>
      </c>
    </row>
    <row r="5">
      <c r="A5" s="51">
        <v>4.0</v>
      </c>
      <c r="B5" s="51" t="s">
        <v>102</v>
      </c>
      <c r="C5" s="51" t="s">
        <v>767</v>
      </c>
      <c r="D5" s="51" t="s">
        <v>768</v>
      </c>
      <c r="E5" s="51" t="s">
        <v>44</v>
      </c>
      <c r="F5" s="51" t="s">
        <v>769</v>
      </c>
      <c r="H5" s="51" t="s">
        <v>84</v>
      </c>
    </row>
    <row r="6">
      <c r="A6" s="51">
        <v>5.0</v>
      </c>
      <c r="B6" s="51"/>
      <c r="C6" s="51" t="s">
        <v>771</v>
      </c>
      <c r="D6" s="51" t="s">
        <v>226</v>
      </c>
      <c r="E6" s="51" t="s">
        <v>58</v>
      </c>
      <c r="F6" s="51" t="s">
        <v>710</v>
      </c>
      <c r="H6" s="51" t="s">
        <v>353</v>
      </c>
    </row>
    <row r="7">
      <c r="A7" s="51">
        <v>6.0</v>
      </c>
      <c r="C7" s="51" t="s">
        <v>772</v>
      </c>
      <c r="D7" s="51" t="s">
        <v>43</v>
      </c>
      <c r="E7" s="51" t="s">
        <v>44</v>
      </c>
      <c r="F7" s="51" t="s">
        <v>773</v>
      </c>
      <c r="G7" s="51">
        <v>9.772727474E9</v>
      </c>
      <c r="H7" s="51" t="s">
        <v>194</v>
      </c>
    </row>
    <row r="8">
      <c r="H8" s="51" t="s">
        <v>194</v>
      </c>
    </row>
    <row r="9">
      <c r="H9" s="51" t="s">
        <v>194</v>
      </c>
    </row>
    <row r="10">
      <c r="H10" s="51" t="s">
        <v>194</v>
      </c>
    </row>
    <row r="11">
      <c r="H11" s="51" t="s">
        <v>194</v>
      </c>
    </row>
  </sheetData>
  <dataValidations>
    <dataValidation type="list" allowBlank="1" showErrorMessage="1" sqref="H2:H11">
      <formula1>"Work Not Started Yet,Measrument Done,Material &amp; Team Reached,Structure Work,Panel,Inverter pending,Project On Hold,I&amp;C Completed"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6.63"/>
    <col customWidth="1" min="3" max="3" width="18.63"/>
    <col customWidth="1" min="4" max="4" width="5.5"/>
    <col customWidth="1" min="5" max="5" width="5.63"/>
    <col customWidth="1" min="6" max="6" width="43.88"/>
    <col customWidth="1" min="8" max="8" width="21.5"/>
    <col customWidth="1" min="10" max="10" width="18.38"/>
  </cols>
  <sheetData>
    <row r="1">
      <c r="A1" s="124" t="s">
        <v>754</v>
      </c>
      <c r="B1" s="124" t="s">
        <v>755</v>
      </c>
      <c r="C1" s="124" t="s">
        <v>756</v>
      </c>
      <c r="D1" s="124" t="s">
        <v>757</v>
      </c>
      <c r="E1" s="124" t="s">
        <v>758</v>
      </c>
      <c r="F1" s="124" t="s">
        <v>759</v>
      </c>
      <c r="G1" s="124" t="s">
        <v>761</v>
      </c>
      <c r="H1" s="124" t="s">
        <v>775</v>
      </c>
      <c r="I1" s="124" t="s">
        <v>776</v>
      </c>
      <c r="J1" s="124" t="s">
        <v>777</v>
      </c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>
      <c r="A2" s="51">
        <v>1.0</v>
      </c>
      <c r="B2" s="51" t="s">
        <v>102</v>
      </c>
      <c r="C2" s="51" t="s">
        <v>778</v>
      </c>
      <c r="D2" s="51" t="s">
        <v>43</v>
      </c>
      <c r="E2" s="51" t="s">
        <v>44</v>
      </c>
      <c r="F2" s="93" t="s">
        <v>779</v>
      </c>
      <c r="G2" s="51">
        <v>9.829025678E9</v>
      </c>
      <c r="H2" s="51" t="s">
        <v>84</v>
      </c>
    </row>
    <row r="3">
      <c r="A3" s="51">
        <v>2.0</v>
      </c>
      <c r="B3" s="51" t="s">
        <v>102</v>
      </c>
      <c r="C3" s="51" t="s">
        <v>780</v>
      </c>
      <c r="D3" s="51" t="s">
        <v>104</v>
      </c>
      <c r="E3" s="51" t="s">
        <v>44</v>
      </c>
      <c r="F3" s="51" t="s">
        <v>781</v>
      </c>
      <c r="G3" s="51">
        <v>9.78297804E9</v>
      </c>
      <c r="H3" s="51" t="s">
        <v>84</v>
      </c>
    </row>
    <row r="4">
      <c r="A4" s="51">
        <v>3.0</v>
      </c>
      <c r="H4" s="51" t="s">
        <v>194</v>
      </c>
    </row>
    <row r="5">
      <c r="A5" s="51">
        <v>4.0</v>
      </c>
      <c r="H5" s="51" t="s">
        <v>194</v>
      </c>
    </row>
    <row r="6">
      <c r="H6" s="51" t="s">
        <v>194</v>
      </c>
    </row>
    <row r="7">
      <c r="H7" s="51" t="s">
        <v>194</v>
      </c>
    </row>
  </sheetData>
  <dataValidations>
    <dataValidation type="list" allowBlank="1" showErrorMessage="1" sqref="H2:H7">
      <formula1>"Work Not Started Yet,Measrument Done,Material &amp; Team Reached,Structure Work,Panel,Inverter pending,Project On Hold,I&amp;C Completed"</formula1>
    </dataValidation>
  </dataValidations>
  <hyperlinks>
    <hyperlink r:id="rId1" ref="F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5"/>
    <col customWidth="1" min="2" max="2" width="10.13"/>
    <col customWidth="1" min="3" max="3" width="17.5"/>
    <col customWidth="1" min="4" max="4" width="4.63"/>
    <col customWidth="1" min="5" max="5" width="4.75"/>
    <col customWidth="1" min="6" max="6" width="8.88"/>
    <col customWidth="1" min="7" max="7" width="9.25"/>
    <col customWidth="1" min="8" max="8" width="12.0"/>
    <col customWidth="1" min="9" max="9" width="10.25"/>
    <col customWidth="1" min="10" max="10" width="27.88"/>
    <col customWidth="1" min="11" max="11" width="20.88"/>
    <col customWidth="1" min="12" max="12" width="16.0"/>
    <col customWidth="1" min="13" max="13" width="20.0"/>
    <col customWidth="1" min="14" max="14" width="13.25"/>
    <col customWidth="1" min="15" max="15" width="6.5"/>
    <col customWidth="1" min="16" max="16" width="5.25"/>
    <col customWidth="1" min="17" max="17" width="12.63"/>
    <col customWidth="1" min="18" max="18" width="15.38"/>
    <col customWidth="1" min="19" max="19" width="17.0"/>
    <col customWidth="1" min="20" max="20" width="21.5"/>
    <col customWidth="1" min="21" max="21" width="13.38"/>
    <col customWidth="1" min="22" max="22" width="24.5"/>
    <col customWidth="1" min="23" max="23" width="16.13"/>
    <col customWidth="1" min="24" max="24" width="16.38"/>
    <col customWidth="1" min="25" max="25" width="12.5"/>
    <col customWidth="1" min="26" max="26" width="18.0"/>
    <col customWidth="1" min="27" max="27" width="17.5"/>
    <col customWidth="1" min="28" max="28" width="8.5"/>
    <col customWidth="1" min="29" max="29" width="16.5"/>
    <col customWidth="1" min="30" max="30" width="15.13"/>
    <col customWidth="1" min="31" max="31" width="21.5"/>
    <col customWidth="1" min="32" max="32" width="8.38"/>
    <col customWidth="1" min="33" max="72" width="12.88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39">
        <v>1.0</v>
      </c>
      <c r="B2" s="41" t="s">
        <v>20</v>
      </c>
      <c r="C2" s="41" t="s">
        <v>581</v>
      </c>
      <c r="D2" s="41" t="s">
        <v>43</v>
      </c>
      <c r="E2" s="41"/>
      <c r="F2" s="41" t="s">
        <v>91</v>
      </c>
      <c r="G2" s="41" t="s">
        <v>93</v>
      </c>
      <c r="H2" s="39">
        <v>2.11541040785E11</v>
      </c>
      <c r="I2" s="39">
        <v>8.094681907E9</v>
      </c>
      <c r="J2" s="41" t="s">
        <v>782</v>
      </c>
      <c r="K2" s="41" t="s">
        <v>783</v>
      </c>
      <c r="L2" s="39">
        <v>190000.0</v>
      </c>
      <c r="M2" s="39">
        <v>170000.0</v>
      </c>
      <c r="N2" s="50">
        <v>170000.0</v>
      </c>
      <c r="O2" s="39">
        <v>171000.0</v>
      </c>
      <c r="P2" s="39">
        <f>M2-O2</f>
        <v>-1000</v>
      </c>
      <c r="Q2" s="30" t="s">
        <v>82</v>
      </c>
      <c r="R2" s="31" t="s">
        <v>69</v>
      </c>
      <c r="S2" s="30" t="s">
        <v>83</v>
      </c>
      <c r="T2" s="38" t="s">
        <v>84</v>
      </c>
      <c r="U2" s="41" t="s">
        <v>70</v>
      </c>
      <c r="V2" s="35" t="s">
        <v>86</v>
      </c>
      <c r="W2" s="35">
        <v>119000.0</v>
      </c>
      <c r="X2" s="35">
        <v>52000.0</v>
      </c>
      <c r="Y2" s="41"/>
      <c r="Z2" s="42"/>
      <c r="AA2" s="42">
        <f>P2-Y2-Z2</f>
        <v>-1000</v>
      </c>
      <c r="AB2" s="42">
        <f>O2-W2-X2</f>
        <v>0</v>
      </c>
      <c r="AC2" s="42">
        <f>AD2-AB2</f>
        <v>-1000</v>
      </c>
      <c r="AD2" s="42">
        <f>N2-(W2+X2+Y2)</f>
        <v>-1000</v>
      </c>
      <c r="AE2" s="42">
        <f>W2+X2+Y2+Z2</f>
        <v>171000</v>
      </c>
      <c r="AF2" s="41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</row>
    <row r="3">
      <c r="B3" s="51" t="s">
        <v>20</v>
      </c>
      <c r="C3" s="51" t="s">
        <v>784</v>
      </c>
      <c r="D3" s="51" t="s">
        <v>43</v>
      </c>
      <c r="E3" s="51" t="s">
        <v>44</v>
      </c>
      <c r="H3" s="51">
        <v>2.11443042169E11</v>
      </c>
      <c r="I3" s="51">
        <v>9.414300843E9</v>
      </c>
      <c r="J3" s="51" t="s">
        <v>785</v>
      </c>
      <c r="Q3" s="61"/>
      <c r="R3" s="61"/>
      <c r="S3" s="61"/>
      <c r="T3" s="51" t="s">
        <v>194</v>
      </c>
      <c r="U3" s="16"/>
      <c r="V3" s="16"/>
    </row>
    <row r="4">
      <c r="A4" s="37"/>
      <c r="B4" s="131"/>
      <c r="C4" s="131"/>
      <c r="D4" s="131"/>
      <c r="E4" s="131"/>
      <c r="F4" s="131"/>
      <c r="G4" s="131"/>
      <c r="H4" s="132"/>
      <c r="I4" s="131"/>
      <c r="J4" s="131"/>
      <c r="K4" s="131"/>
      <c r="L4" s="131"/>
      <c r="M4" s="131"/>
      <c r="N4" s="131"/>
      <c r="O4" s="131"/>
      <c r="P4" s="131"/>
      <c r="Q4" s="14"/>
      <c r="R4" s="14"/>
      <c r="S4" s="14"/>
      <c r="T4" s="51" t="s">
        <v>194</v>
      </c>
      <c r="U4" s="14"/>
      <c r="V4" s="14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</row>
    <row r="5">
      <c r="Q5" s="61"/>
      <c r="R5" s="61"/>
      <c r="S5" s="61"/>
      <c r="T5" s="51" t="s">
        <v>194</v>
      </c>
      <c r="U5" s="16"/>
      <c r="V5" s="16"/>
    </row>
    <row r="6">
      <c r="T6" s="51" t="s">
        <v>194</v>
      </c>
    </row>
  </sheetData>
  <dataValidations>
    <dataValidation type="list" allowBlank="1" showErrorMessage="1" sqref="T2:T6">
      <formula1>"Work Not Started Yet,Measrument Done,Material &amp; Team Reached,Structure Work,Panel,Inverter pending,Project On Hold,I&amp;C Completed"</formula1>
    </dataValidation>
    <dataValidation type="list" allowBlank="1" showErrorMessage="1" sqref="Q2">
      <formula1>"Doc Recieved,File login,COMPLET"</formula1>
    </dataValidation>
    <dataValidation type="list" allowBlank="1" showErrorMessage="1" sqref="S2">
      <formula1>"Loan apply,File prepare,File into bank,Loan approved,Loan Rejected,CASH FILE"</formula1>
    </dataValidation>
    <dataValidation type="list" allowBlank="1" showErrorMessage="1" sqref="U2">
      <formula1>"Pending,Meter &amp; File submit DISCOM,Net Metering,Subsidy apply with site photo,Subsidy granted"</formula1>
    </dataValidation>
    <dataValidation type="list" allowBlank="1" showErrorMessage="1" sqref="V2">
      <formula1>"Cash To Mahi,1st Installment Received,2ns Installment Received,Payment Not Received Yet,Payment Due"</formula1>
    </dataValidation>
    <dataValidation type="list" allowBlank="1" showErrorMessage="1" sqref="R2">
      <formula1>"Center (78K),Both (78 + 17),WITH OUT SUBSIDY"</formula1>
    </dataValidation>
  </dataValidations>
  <hyperlinks>
    <hyperlink r:id="rId1" ref="H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19.75"/>
    <col customWidth="1" min="3" max="3" width="14.38"/>
    <col customWidth="1" min="4" max="4" width="4.63"/>
    <col customWidth="1" min="5" max="5" width="4.25"/>
    <col customWidth="1" min="6" max="6" width="8.75"/>
    <col customWidth="1" min="7" max="7" width="7.25"/>
    <col customWidth="1" min="8" max="8" width="12.0"/>
    <col customWidth="1" min="9" max="9" width="10.25"/>
    <col customWidth="1" min="10" max="10" width="24.88"/>
    <col customWidth="1" min="11" max="11" width="9.13"/>
    <col customWidth="1" min="12" max="12" width="16.75"/>
    <col customWidth="1" min="13" max="13" width="20.0"/>
    <col customWidth="1" min="14" max="14" width="13.25"/>
    <col customWidth="1" min="15" max="15" width="5.25"/>
    <col customWidth="1" min="16" max="16" width="5.13"/>
    <col customWidth="1" min="17" max="17" width="12.63"/>
    <col customWidth="1" min="18" max="18" width="15.38"/>
    <col customWidth="1" min="19" max="19" width="15.13"/>
    <col customWidth="1" min="20" max="20" width="21.5"/>
    <col customWidth="1" min="21" max="21" width="13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8.38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51">
        <v>1.0</v>
      </c>
      <c r="B2" s="51" t="s">
        <v>54</v>
      </c>
      <c r="C2" s="51" t="s">
        <v>786</v>
      </c>
      <c r="D2" s="51" t="s">
        <v>104</v>
      </c>
      <c r="E2" s="51" t="s">
        <v>44</v>
      </c>
      <c r="G2" s="51" t="s">
        <v>192</v>
      </c>
      <c r="H2" s="51">
        <v>2.11534061705E11</v>
      </c>
      <c r="I2" s="51">
        <v>8.015926535E9</v>
      </c>
      <c r="J2" s="51" t="s">
        <v>787</v>
      </c>
      <c r="P2" s="69">
        <f>M2-O2</f>
        <v>0</v>
      </c>
      <c r="Q2" s="61" t="s">
        <v>28</v>
      </c>
      <c r="R2" s="61" t="s">
        <v>69</v>
      </c>
      <c r="S2" s="53" t="s">
        <v>71</v>
      </c>
      <c r="T2" s="51" t="s">
        <v>194</v>
      </c>
      <c r="U2" s="16" t="s">
        <v>70</v>
      </c>
      <c r="V2" s="54" t="s">
        <v>72</v>
      </c>
      <c r="AA2" s="69">
        <f>P2-Y2-Z2</f>
        <v>0</v>
      </c>
      <c r="AB2" s="69">
        <f>O2-W2-X2</f>
        <v>0</v>
      </c>
      <c r="AC2" s="69">
        <f>AD2-AB2</f>
        <v>0</v>
      </c>
      <c r="AD2" s="69">
        <f>N2-(W2+X2+Y2)</f>
        <v>0</v>
      </c>
      <c r="AE2" s="69">
        <f>W2+X2+Y2+Z2</f>
        <v>0</v>
      </c>
    </row>
    <row r="3">
      <c r="Q3" s="61" t="s">
        <v>28</v>
      </c>
      <c r="R3" s="61" t="s">
        <v>69</v>
      </c>
      <c r="S3" s="53" t="s">
        <v>71</v>
      </c>
      <c r="T3" s="51" t="s">
        <v>194</v>
      </c>
      <c r="U3" s="16" t="s">
        <v>70</v>
      </c>
      <c r="V3" s="54" t="s">
        <v>72</v>
      </c>
    </row>
    <row r="4">
      <c r="Q4" s="61" t="s">
        <v>28</v>
      </c>
      <c r="R4" s="61" t="s">
        <v>69</v>
      </c>
      <c r="T4" s="51" t="s">
        <v>194</v>
      </c>
      <c r="U4" s="16" t="s">
        <v>70</v>
      </c>
      <c r="V4" s="54" t="s">
        <v>72</v>
      </c>
    </row>
    <row r="5">
      <c r="Q5" s="61" t="s">
        <v>28</v>
      </c>
      <c r="R5" s="61" t="s">
        <v>69</v>
      </c>
      <c r="T5" s="51" t="s">
        <v>194</v>
      </c>
      <c r="U5" s="16" t="s">
        <v>70</v>
      </c>
      <c r="V5" s="54" t="s">
        <v>72</v>
      </c>
    </row>
    <row r="6">
      <c r="Q6" s="61" t="s">
        <v>28</v>
      </c>
    </row>
  </sheetData>
  <dataValidations>
    <dataValidation type="list" allowBlank="1" showErrorMessage="1" sqref="T2:T5">
      <formula1>"Work Not Started Yet,Measrument Done,Material &amp; Team Reached,Structure Work,Panel,Inverter pending,Project On Hold,I&amp;C Completed"</formula1>
    </dataValidation>
    <dataValidation type="list" allowBlank="1" showErrorMessage="1" sqref="Q2:Q6">
      <formula1>"Doc Recieved,File login,COMPLET"</formula1>
    </dataValidation>
    <dataValidation type="list" allowBlank="1" showErrorMessage="1" sqref="S2:S3">
      <formula1>"Loan apply,File prepare,File into bank,Loan approved,Loan Rejected,CASH FILE"</formula1>
    </dataValidation>
    <dataValidation type="list" allowBlank="1" showErrorMessage="1" sqref="U2:U5">
      <formula1>"Pending,Meter &amp; File submit DISCOM,Net Metering,Subsidy apply with site photo,Subsidy granted"</formula1>
    </dataValidation>
    <dataValidation type="list" allowBlank="1" showErrorMessage="1" sqref="V2:V5">
      <formula1>"Cash To Mahi,1st Installment Received,2ns Installment Received,Payment Not Received Yet,Payment Due"</formula1>
    </dataValidation>
    <dataValidation type="list" allowBlank="1" showErrorMessage="1" sqref="R2:R5">
      <formula1>"Center (78K),Both (78 + 17),WITH OUT SUBSIDY"</formula1>
    </dataValidation>
  </dataValidations>
  <hyperlinks>
    <hyperlink r:id="rId1" ref="H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5"/>
    <col customWidth="1" min="2" max="2" width="18.25"/>
    <col customWidth="1" min="3" max="3" width="21.38"/>
    <col customWidth="1" min="4" max="4" width="4.63"/>
    <col customWidth="1" min="5" max="5" width="4.25"/>
    <col customWidth="1" min="6" max="6" width="13.0"/>
    <col customWidth="1" min="7" max="7" width="17.75"/>
    <col customWidth="1" min="8" max="8" width="12.13"/>
    <col customWidth="1" min="9" max="9" width="10.25"/>
    <col customWidth="1" min="10" max="10" width="28.13"/>
    <col customWidth="1" min="11" max="11" width="21.88"/>
    <col customWidth="1" min="12" max="12" width="16.75"/>
    <col customWidth="1" min="13" max="13" width="20.0"/>
    <col customWidth="1" min="14" max="14" width="13.25"/>
    <col customWidth="1" min="15" max="16" width="6.5"/>
    <col customWidth="1" hidden="1" min="17" max="17" width="13.25"/>
    <col customWidth="1" hidden="1" min="18" max="18" width="16.5"/>
    <col customWidth="1" hidden="1" min="19" max="19" width="17.0"/>
    <col customWidth="1" hidden="1" min="20" max="20" width="21.5"/>
    <col customWidth="1" hidden="1" min="21" max="21" width="27.38"/>
    <col customWidth="1" hidden="1" min="22" max="22" width="17.13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44.13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50">
        <v>1.0</v>
      </c>
      <c r="B2" s="35" t="s">
        <v>151</v>
      </c>
      <c r="C2" s="41" t="s">
        <v>788</v>
      </c>
      <c r="D2" s="41" t="s">
        <v>104</v>
      </c>
      <c r="E2" s="35" t="s">
        <v>58</v>
      </c>
      <c r="F2" s="41" t="s">
        <v>789</v>
      </c>
      <c r="G2" s="41" t="s">
        <v>790</v>
      </c>
      <c r="H2" s="39">
        <v>2.11522046354E11</v>
      </c>
      <c r="I2" s="39">
        <v>9.799033076E9</v>
      </c>
      <c r="J2" s="41" t="s">
        <v>791</v>
      </c>
      <c r="K2" s="41" t="s">
        <v>792</v>
      </c>
      <c r="L2" s="39">
        <v>257000.0</v>
      </c>
      <c r="M2" s="35">
        <v>257000.0</v>
      </c>
      <c r="N2" s="35">
        <f>235000+7000</f>
        <v>242000</v>
      </c>
      <c r="O2" s="39">
        <v>0.0</v>
      </c>
      <c r="P2" s="39">
        <f t="shared" ref="P2:P6" si="1">M2-O2</f>
        <v>257000</v>
      </c>
      <c r="Q2" s="30" t="s">
        <v>82</v>
      </c>
      <c r="R2" s="31" t="s">
        <v>69</v>
      </c>
      <c r="S2" s="31" t="s">
        <v>74</v>
      </c>
      <c r="T2" s="38" t="s">
        <v>84</v>
      </c>
      <c r="U2" s="35" t="s">
        <v>278</v>
      </c>
      <c r="V2" s="35" t="s">
        <v>109</v>
      </c>
      <c r="W2" s="50">
        <v>0.0</v>
      </c>
      <c r="X2" s="35">
        <v>0.0</v>
      </c>
      <c r="Y2" s="35">
        <f>20000+100000+50000+10000</f>
        <v>180000</v>
      </c>
      <c r="Z2" s="50">
        <v>0.0</v>
      </c>
      <c r="AA2" s="42">
        <f t="shared" ref="AA2:AA8" si="2">P2-Y2-Z2</f>
        <v>77000</v>
      </c>
      <c r="AB2" s="42">
        <f t="shared" ref="AB2:AB8" si="3">O2-W2-X2</f>
        <v>0</v>
      </c>
      <c r="AC2" s="42">
        <f t="shared" ref="AC2:AC8" si="4">AD2-AB2</f>
        <v>62000</v>
      </c>
      <c r="AD2" s="42">
        <f t="shared" ref="AD2:AD8" si="5">N2-(W2+X2+Y2)</f>
        <v>62000</v>
      </c>
      <c r="AE2" s="42">
        <f t="shared" ref="AE2:AE8" si="6">W2+X2+Y2+Z2</f>
        <v>180000</v>
      </c>
      <c r="AF2" s="35" t="s">
        <v>793</v>
      </c>
      <c r="AG2" s="41"/>
      <c r="AH2" s="41"/>
      <c r="AI2" s="41"/>
      <c r="AJ2" s="41"/>
    </row>
    <row r="3">
      <c r="A3" s="50">
        <v>2.0</v>
      </c>
      <c r="B3" s="35" t="s">
        <v>151</v>
      </c>
      <c r="C3" s="41" t="s">
        <v>794</v>
      </c>
      <c r="D3" s="41" t="s">
        <v>104</v>
      </c>
      <c r="E3" s="35" t="s">
        <v>44</v>
      </c>
      <c r="F3" s="41" t="s">
        <v>795</v>
      </c>
      <c r="G3" s="41" t="s">
        <v>796</v>
      </c>
      <c r="H3" s="39">
        <v>2.11426010896E11</v>
      </c>
      <c r="I3" s="39">
        <v>8.890493989E9</v>
      </c>
      <c r="J3" s="41" t="s">
        <v>797</v>
      </c>
      <c r="K3" s="41" t="s">
        <v>798</v>
      </c>
      <c r="L3" s="39">
        <v>225000.0</v>
      </c>
      <c r="M3" s="35">
        <v>270000.0</v>
      </c>
      <c r="N3" s="35">
        <v>225000.0</v>
      </c>
      <c r="O3" s="35">
        <v>200000.0</v>
      </c>
      <c r="P3" s="39">
        <f t="shared" si="1"/>
        <v>70000</v>
      </c>
      <c r="Q3" s="30" t="s">
        <v>82</v>
      </c>
      <c r="R3" s="31" t="s">
        <v>69</v>
      </c>
      <c r="S3" s="30" t="s">
        <v>83</v>
      </c>
      <c r="T3" s="38" t="s">
        <v>84</v>
      </c>
      <c r="U3" s="35" t="s">
        <v>207</v>
      </c>
      <c r="V3" s="35" t="s">
        <v>86</v>
      </c>
      <c r="W3" s="35">
        <v>140000.0</v>
      </c>
      <c r="X3" s="35">
        <v>60000.0</v>
      </c>
      <c r="Y3" s="41">
        <f>30000+40000</f>
        <v>70000</v>
      </c>
      <c r="Z3" s="35"/>
      <c r="AA3" s="42">
        <f t="shared" si="2"/>
        <v>0</v>
      </c>
      <c r="AB3" s="42">
        <f t="shared" si="3"/>
        <v>0</v>
      </c>
      <c r="AC3" s="42">
        <f t="shared" si="4"/>
        <v>-45000</v>
      </c>
      <c r="AD3" s="42">
        <f t="shared" si="5"/>
        <v>-45000</v>
      </c>
      <c r="AE3" s="42">
        <f t="shared" si="6"/>
        <v>270000</v>
      </c>
      <c r="AF3" s="41"/>
      <c r="AG3" s="41"/>
      <c r="AH3" s="41"/>
      <c r="AI3" s="41"/>
      <c r="AJ3" s="41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</row>
    <row r="4">
      <c r="A4" s="50">
        <v>3.0</v>
      </c>
      <c r="B4" s="35" t="s">
        <v>799</v>
      </c>
      <c r="C4" s="41" t="s">
        <v>800</v>
      </c>
      <c r="D4" s="41" t="s">
        <v>226</v>
      </c>
      <c r="E4" s="35" t="s">
        <v>44</v>
      </c>
      <c r="F4" s="41" t="s">
        <v>801</v>
      </c>
      <c r="G4" s="41" t="s">
        <v>802</v>
      </c>
      <c r="H4" s="39">
        <v>2.1146602579E11</v>
      </c>
      <c r="I4" s="39">
        <v>8.385925902E9</v>
      </c>
      <c r="J4" s="41" t="s">
        <v>803</v>
      </c>
      <c r="K4" s="41" t="s">
        <v>804</v>
      </c>
      <c r="L4" s="39">
        <v>225000.0</v>
      </c>
      <c r="M4" s="39">
        <v>285000.0</v>
      </c>
      <c r="N4" s="50">
        <v>267000.0</v>
      </c>
      <c r="O4" s="39">
        <v>200000.0</v>
      </c>
      <c r="P4" s="39">
        <f t="shared" si="1"/>
        <v>85000</v>
      </c>
      <c r="Q4" s="30" t="s">
        <v>82</v>
      </c>
      <c r="R4" s="31" t="s">
        <v>65</v>
      </c>
      <c r="S4" s="30" t="s">
        <v>83</v>
      </c>
      <c r="T4" s="38" t="s">
        <v>84</v>
      </c>
      <c r="U4" s="35" t="s">
        <v>85</v>
      </c>
      <c r="V4" s="35" t="s">
        <v>176</v>
      </c>
      <c r="W4" s="35">
        <v>140000.0</v>
      </c>
      <c r="X4" s="35">
        <v>60000.0</v>
      </c>
      <c r="Y4" s="35">
        <f>50000+25000</f>
        <v>75000</v>
      </c>
      <c r="Z4" s="35"/>
      <c r="AA4" s="42">
        <f t="shared" si="2"/>
        <v>10000</v>
      </c>
      <c r="AB4" s="42">
        <f t="shared" si="3"/>
        <v>0</v>
      </c>
      <c r="AC4" s="42">
        <f t="shared" si="4"/>
        <v>-8000</v>
      </c>
      <c r="AD4" s="42">
        <f t="shared" si="5"/>
        <v>-8000</v>
      </c>
      <c r="AE4" s="42">
        <f t="shared" si="6"/>
        <v>275000</v>
      </c>
      <c r="AF4" s="41"/>
      <c r="AG4" s="41"/>
      <c r="AH4" s="41"/>
      <c r="AI4" s="41"/>
      <c r="AJ4" s="41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</row>
    <row r="5">
      <c r="A5" s="50">
        <v>4.0</v>
      </c>
      <c r="B5" s="35" t="s">
        <v>151</v>
      </c>
      <c r="C5" s="35" t="s">
        <v>805</v>
      </c>
      <c r="D5" s="35" t="s">
        <v>104</v>
      </c>
      <c r="E5" s="35" t="s">
        <v>58</v>
      </c>
      <c r="F5" s="35" t="s">
        <v>806</v>
      </c>
      <c r="G5" s="35" t="s">
        <v>192</v>
      </c>
      <c r="H5" s="35">
        <v>2.11534052734E11</v>
      </c>
      <c r="I5" s="35">
        <v>9.079610549E9</v>
      </c>
      <c r="J5" s="35" t="s">
        <v>807</v>
      </c>
      <c r="K5" s="35" t="s">
        <v>808</v>
      </c>
      <c r="L5" s="35">
        <v>225000.0</v>
      </c>
      <c r="M5" s="35">
        <v>285000.0</v>
      </c>
      <c r="N5" s="35">
        <v>235000.0</v>
      </c>
      <c r="O5" s="35">
        <v>200000.0</v>
      </c>
      <c r="P5" s="39">
        <f t="shared" si="1"/>
        <v>85000</v>
      </c>
      <c r="Q5" s="30" t="s">
        <v>82</v>
      </c>
      <c r="R5" s="31" t="s">
        <v>69</v>
      </c>
      <c r="S5" s="30" t="s">
        <v>83</v>
      </c>
      <c r="T5" s="38" t="s">
        <v>84</v>
      </c>
      <c r="U5" s="35" t="s">
        <v>85</v>
      </c>
      <c r="V5" s="35" t="s">
        <v>86</v>
      </c>
      <c r="W5" s="35">
        <v>140000.0</v>
      </c>
      <c r="X5" s="35">
        <v>60000.0</v>
      </c>
      <c r="Y5" s="35">
        <v>80000.0</v>
      </c>
      <c r="Z5" s="35"/>
      <c r="AA5" s="42">
        <f t="shared" si="2"/>
        <v>5000</v>
      </c>
      <c r="AB5" s="42">
        <f t="shared" si="3"/>
        <v>0</v>
      </c>
      <c r="AC5" s="42">
        <f t="shared" si="4"/>
        <v>-45000</v>
      </c>
      <c r="AD5" s="42">
        <f t="shared" si="5"/>
        <v>-45000</v>
      </c>
      <c r="AE5" s="42">
        <f t="shared" si="6"/>
        <v>280000</v>
      </c>
      <c r="AF5" s="41"/>
      <c r="AG5" s="41"/>
      <c r="AH5" s="41"/>
      <c r="AI5" s="41"/>
      <c r="AJ5" s="41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</row>
    <row r="6">
      <c r="A6" s="50">
        <v>5.0</v>
      </c>
      <c r="B6" s="35" t="s">
        <v>809</v>
      </c>
      <c r="C6" s="41" t="s">
        <v>810</v>
      </c>
      <c r="D6" s="41" t="s">
        <v>226</v>
      </c>
      <c r="E6" s="35" t="s">
        <v>58</v>
      </c>
      <c r="F6" s="35" t="s">
        <v>119</v>
      </c>
      <c r="G6" s="38" t="s">
        <v>811</v>
      </c>
      <c r="H6" s="38">
        <v>2.11466020013E11</v>
      </c>
      <c r="I6" s="35">
        <v>9.828736759E9</v>
      </c>
      <c r="J6" s="38" t="s">
        <v>812</v>
      </c>
      <c r="K6" s="41" t="s">
        <v>813</v>
      </c>
      <c r="L6" s="39">
        <v>225000.0</v>
      </c>
      <c r="M6" s="50">
        <v>305000.0</v>
      </c>
      <c r="N6" s="50">
        <v>280000.0</v>
      </c>
      <c r="O6" s="35">
        <v>200000.0</v>
      </c>
      <c r="P6" s="39">
        <f t="shared" si="1"/>
        <v>105000</v>
      </c>
      <c r="Q6" s="30" t="s">
        <v>82</v>
      </c>
      <c r="R6" s="31" t="s">
        <v>69</v>
      </c>
      <c r="S6" s="30" t="s">
        <v>83</v>
      </c>
      <c r="T6" s="38" t="s">
        <v>84</v>
      </c>
      <c r="U6" s="35" t="s">
        <v>207</v>
      </c>
      <c r="V6" s="35" t="s">
        <v>176</v>
      </c>
      <c r="W6" s="35">
        <v>140000.0</v>
      </c>
      <c r="X6" s="41"/>
      <c r="Y6" s="41"/>
      <c r="Z6" s="35">
        <v>0.0</v>
      </c>
      <c r="AA6" s="42">
        <f t="shared" si="2"/>
        <v>105000</v>
      </c>
      <c r="AB6" s="42">
        <f t="shared" si="3"/>
        <v>60000</v>
      </c>
      <c r="AC6" s="42">
        <f t="shared" si="4"/>
        <v>80000</v>
      </c>
      <c r="AD6" s="42">
        <f t="shared" si="5"/>
        <v>140000</v>
      </c>
      <c r="AE6" s="42">
        <f t="shared" si="6"/>
        <v>140000</v>
      </c>
      <c r="AF6" s="41"/>
      <c r="AG6" s="41"/>
      <c r="AH6" s="41"/>
      <c r="AI6" s="41"/>
      <c r="AJ6" s="41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</row>
    <row r="7">
      <c r="A7" s="33">
        <v>6.0</v>
      </c>
      <c r="B7" s="20" t="s">
        <v>20</v>
      </c>
      <c r="C7" s="20" t="s">
        <v>814</v>
      </c>
      <c r="D7" s="20" t="s">
        <v>104</v>
      </c>
      <c r="E7" s="20" t="s">
        <v>58</v>
      </c>
      <c r="F7" s="20" t="s">
        <v>119</v>
      </c>
      <c r="G7" s="20" t="s">
        <v>811</v>
      </c>
      <c r="H7" s="20">
        <v>2.11466000548E11</v>
      </c>
      <c r="I7" s="20">
        <v>9.7840384E9</v>
      </c>
      <c r="J7" s="20" t="s">
        <v>815</v>
      </c>
      <c r="K7" s="20" t="s">
        <v>816</v>
      </c>
      <c r="L7" s="20">
        <v>225000.0</v>
      </c>
      <c r="M7" s="20">
        <v>265000.0</v>
      </c>
      <c r="N7" s="20"/>
      <c r="O7" s="23"/>
      <c r="P7" s="23"/>
      <c r="Q7" s="18" t="s">
        <v>28</v>
      </c>
      <c r="R7" s="19" t="s">
        <v>69</v>
      </c>
      <c r="S7" s="19" t="s">
        <v>71</v>
      </c>
      <c r="T7" s="27" t="s">
        <v>68</v>
      </c>
      <c r="U7" s="23" t="s">
        <v>70</v>
      </c>
      <c r="V7" s="23"/>
      <c r="W7" s="23"/>
      <c r="X7" s="23"/>
      <c r="Y7" s="23"/>
      <c r="Z7" s="23"/>
      <c r="AA7" s="28">
        <f t="shared" si="2"/>
        <v>0</v>
      </c>
      <c r="AB7" s="28">
        <f t="shared" si="3"/>
        <v>0</v>
      </c>
      <c r="AC7" s="28">
        <f t="shared" si="4"/>
        <v>0</v>
      </c>
      <c r="AD7" s="28">
        <f t="shared" si="5"/>
        <v>0</v>
      </c>
      <c r="AE7" s="28">
        <f t="shared" si="6"/>
        <v>0</v>
      </c>
      <c r="AF7" s="23"/>
      <c r="AG7" s="23"/>
      <c r="AH7" s="23"/>
      <c r="AI7" s="23"/>
      <c r="AJ7" s="23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</row>
    <row r="8">
      <c r="A8" s="33">
        <v>7.0</v>
      </c>
      <c r="B8" s="20" t="s">
        <v>817</v>
      </c>
      <c r="C8" s="23" t="s">
        <v>818</v>
      </c>
      <c r="D8" s="23" t="s">
        <v>104</v>
      </c>
      <c r="E8" s="23"/>
      <c r="F8" s="23" t="s">
        <v>819</v>
      </c>
      <c r="G8" s="23" t="s">
        <v>60</v>
      </c>
      <c r="H8" s="22">
        <v>2.10475007155E11</v>
      </c>
      <c r="I8" s="22">
        <v>8.619873804E9</v>
      </c>
      <c r="J8" s="23" t="s">
        <v>820</v>
      </c>
      <c r="K8" s="23" t="s">
        <v>821</v>
      </c>
      <c r="L8" s="22">
        <v>225000.0</v>
      </c>
      <c r="M8" s="22">
        <v>270000.0</v>
      </c>
      <c r="N8" s="22"/>
      <c r="O8" s="23"/>
      <c r="P8" s="23"/>
      <c r="Q8" s="19" t="s">
        <v>28</v>
      </c>
      <c r="R8" s="19" t="s">
        <v>69</v>
      </c>
      <c r="S8" s="19" t="s">
        <v>71</v>
      </c>
      <c r="T8" s="27" t="s">
        <v>68</v>
      </c>
      <c r="U8" s="23" t="s">
        <v>70</v>
      </c>
      <c r="V8" s="23"/>
      <c r="W8" s="23"/>
      <c r="X8" s="23"/>
      <c r="Y8" s="23"/>
      <c r="Z8" s="23"/>
      <c r="AA8" s="28">
        <f t="shared" si="2"/>
        <v>0</v>
      </c>
      <c r="AB8" s="28">
        <f t="shared" si="3"/>
        <v>0</v>
      </c>
      <c r="AC8" s="28">
        <f t="shared" si="4"/>
        <v>0</v>
      </c>
      <c r="AD8" s="28">
        <f t="shared" si="5"/>
        <v>0</v>
      </c>
      <c r="AE8" s="28">
        <f t="shared" si="6"/>
        <v>0</v>
      </c>
      <c r="AF8" s="23"/>
      <c r="AG8" s="23"/>
      <c r="AH8" s="23"/>
      <c r="AI8" s="23"/>
      <c r="AJ8" s="23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</row>
    <row r="9">
      <c r="A9" s="40"/>
      <c r="B9" s="16"/>
      <c r="C9" s="16"/>
      <c r="D9" s="16"/>
      <c r="E9" s="16"/>
      <c r="F9" s="16"/>
      <c r="G9" s="61"/>
      <c r="H9" s="79"/>
      <c r="I9" s="16"/>
      <c r="J9" s="16"/>
      <c r="K9" s="16"/>
      <c r="L9" s="16"/>
      <c r="M9" s="16"/>
      <c r="N9" s="16"/>
      <c r="O9" s="16"/>
      <c r="P9" s="16"/>
      <c r="Q9" s="61"/>
      <c r="R9" s="61"/>
      <c r="S9" s="61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>
      <c r="A10" s="40"/>
      <c r="B10" s="54"/>
      <c r="C10" s="16"/>
      <c r="D10" s="16"/>
      <c r="E10" s="16"/>
      <c r="F10" s="16"/>
      <c r="G10" s="16"/>
      <c r="H10" s="16"/>
      <c r="I10" s="40"/>
      <c r="J10" s="16"/>
      <c r="K10" s="16"/>
      <c r="L10" s="16"/>
      <c r="M10" s="16"/>
      <c r="N10" s="16"/>
      <c r="O10" s="16"/>
      <c r="P10" s="16"/>
      <c r="Q10" s="61"/>
      <c r="R10" s="61"/>
      <c r="S10" s="61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>
      <c r="A11" s="40"/>
      <c r="B11" s="54"/>
      <c r="C11" s="16"/>
      <c r="D11" s="16"/>
      <c r="E11" s="16"/>
      <c r="F11" s="16"/>
      <c r="G11" s="16"/>
      <c r="H11" s="16"/>
      <c r="I11" s="40"/>
      <c r="J11" s="16"/>
      <c r="K11" s="16"/>
      <c r="L11" s="16"/>
      <c r="M11" s="16"/>
      <c r="N11" s="16"/>
      <c r="O11" s="16"/>
      <c r="P11" s="16"/>
      <c r="Q11" s="61"/>
      <c r="R11" s="61"/>
      <c r="S11" s="61"/>
      <c r="T11" s="16"/>
      <c r="U11" s="16"/>
      <c r="V11" s="16"/>
      <c r="W11" s="16"/>
      <c r="X11" s="16"/>
      <c r="Y11" s="133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>
      <c r="A12" s="40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61"/>
      <c r="R12" s="61"/>
      <c r="S12" s="61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61"/>
      <c r="R13" s="61"/>
      <c r="S13" s="61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61"/>
      <c r="R14" s="61"/>
      <c r="S14" s="61"/>
      <c r="T14" s="16"/>
      <c r="U14" s="16"/>
      <c r="V14" s="54" t="s">
        <v>453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>
      <c r="Q15" s="61"/>
      <c r="R15" s="61"/>
      <c r="S15" s="61"/>
      <c r="T15" s="16"/>
      <c r="U15" s="16"/>
      <c r="V15" s="16"/>
    </row>
    <row r="16">
      <c r="Q16" s="61"/>
      <c r="R16" s="61"/>
      <c r="S16" s="61"/>
      <c r="T16" s="16"/>
      <c r="U16" s="16"/>
      <c r="V16" s="16"/>
    </row>
    <row r="17">
      <c r="Q17" s="61"/>
      <c r="R17" s="61"/>
      <c r="S17" s="61"/>
      <c r="T17" s="16"/>
      <c r="U17" s="16"/>
      <c r="V17" s="16"/>
    </row>
    <row r="18">
      <c r="Q18" s="61"/>
      <c r="R18" s="61"/>
      <c r="S18" s="61"/>
      <c r="T18" s="16"/>
      <c r="U18" s="16"/>
      <c r="V18" s="16"/>
    </row>
    <row r="19">
      <c r="Q19" s="61"/>
      <c r="R19" s="61"/>
      <c r="S19" s="61"/>
      <c r="T19" s="16"/>
      <c r="U19" s="16"/>
      <c r="V19" s="16"/>
    </row>
    <row r="20">
      <c r="Q20" s="61"/>
      <c r="R20" s="61"/>
      <c r="S20" s="61"/>
      <c r="T20" s="16"/>
      <c r="U20" s="16"/>
      <c r="V20" s="16"/>
    </row>
    <row r="21">
      <c r="Q21" s="61"/>
      <c r="R21" s="61"/>
      <c r="S21" s="61"/>
      <c r="T21" s="16"/>
      <c r="U21" s="16"/>
      <c r="V21" s="16"/>
    </row>
    <row r="22">
      <c r="Q22" s="61"/>
      <c r="R22" s="61"/>
      <c r="S22" s="61"/>
      <c r="T22" s="16"/>
      <c r="U22" s="16"/>
      <c r="V22" s="16"/>
    </row>
    <row r="23">
      <c r="Q23" s="61"/>
      <c r="R23" s="61"/>
      <c r="S23" s="61"/>
      <c r="T23" s="16"/>
      <c r="U23" s="16"/>
      <c r="V23" s="16"/>
    </row>
    <row r="24">
      <c r="Q24" s="61"/>
      <c r="R24" s="61"/>
      <c r="S24" s="61"/>
      <c r="T24" s="16"/>
      <c r="U24" s="16"/>
      <c r="V24" s="16"/>
    </row>
    <row r="25">
      <c r="Q25" s="61"/>
      <c r="R25" s="61"/>
      <c r="S25" s="61"/>
      <c r="T25" s="16"/>
      <c r="U25" s="16"/>
      <c r="V25" s="16"/>
    </row>
    <row r="26">
      <c r="Q26" s="61"/>
      <c r="R26" s="61"/>
      <c r="S26" s="61"/>
      <c r="T26" s="16"/>
      <c r="U26" s="16"/>
      <c r="V26" s="16"/>
    </row>
    <row r="27">
      <c r="Q27" s="61"/>
      <c r="R27" s="61"/>
      <c r="S27" s="61"/>
      <c r="T27" s="16"/>
      <c r="U27" s="16"/>
      <c r="V27" s="16"/>
    </row>
    <row r="28">
      <c r="Q28" s="61"/>
      <c r="R28" s="61"/>
      <c r="S28" s="61"/>
      <c r="T28" s="16"/>
      <c r="U28" s="16"/>
      <c r="V28" s="16"/>
    </row>
  </sheetData>
  <dataValidations>
    <dataValidation type="list" allowBlank="1" showErrorMessage="1" sqref="T2:T8">
      <formula1>"Work Not Started Yet,Measrument Done,Material &amp; Team Reached,Structure Work,Panel,Inverter pending,Project On Hold,I&amp;C Completed"</formula1>
    </dataValidation>
    <dataValidation type="list" allowBlank="1" showErrorMessage="1" sqref="V7:V8">
      <formula1>"Cash to mahi,1st installment,2nd installment,pending"</formula1>
    </dataValidation>
    <dataValidation type="list" allowBlank="1" showErrorMessage="1" sqref="Q2:Q8">
      <formula1>"Doc Recieved,File login,COMPLET"</formula1>
    </dataValidation>
    <dataValidation type="list" allowBlank="1" showErrorMessage="1" sqref="S2:S8">
      <formula1>"Loan apply,File prepare,File into bank,Loan approved,Loan Rejected,CASH FILE"</formula1>
    </dataValidation>
    <dataValidation type="list" allowBlank="1" showErrorMessage="1" sqref="U2:U8">
      <formula1>"Pending,Meter &amp; File submit DISCOM,Net Metering,Subsidy apply with site photo,Subsidy granted"</formula1>
    </dataValidation>
    <dataValidation type="list" allowBlank="1" showErrorMessage="1" sqref="V2:V6">
      <formula1>"Cash To Mahi,1st Installment Received,2ns Installment Received,Payment Not Received Yet,Payment Due"</formula1>
    </dataValidation>
    <dataValidation type="list" allowBlank="1" showErrorMessage="1" sqref="R2:R8">
      <formula1>"Center (78K),Both (78 + 17),WITH OUT SUBSIDY"</formula1>
    </dataValidation>
  </dataValidations>
  <hyperlinks>
    <hyperlink r:id="rId1" ref="H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3.5"/>
    <col customWidth="1" min="2" max="2" width="22.38"/>
    <col customWidth="1" min="3" max="3" width="15.75"/>
    <col customWidth="1" min="4" max="4" width="4.63"/>
    <col customWidth="1" min="5" max="5" width="4.25"/>
    <col customWidth="1" min="6" max="6" width="9.38"/>
    <col customWidth="1" min="7" max="7" width="16.5"/>
    <col customWidth="1" min="8" max="8" width="12.0"/>
    <col customWidth="1" min="9" max="9" width="10.75"/>
    <col customWidth="1" min="10" max="10" width="27.63"/>
    <col customWidth="1" min="11" max="11" width="21.13"/>
    <col customWidth="1" min="12" max="12" width="16.75"/>
    <col customWidth="1" min="13" max="13" width="20.0"/>
    <col customWidth="1" min="14" max="14" width="13.25"/>
    <col customWidth="1" min="15" max="15" width="5.25"/>
    <col customWidth="1" min="16" max="16" width="6.5"/>
    <col customWidth="1" min="17" max="17" width="13.25"/>
    <col customWidth="1" min="18" max="19" width="16.5"/>
    <col customWidth="1" min="20" max="20" width="21.5"/>
    <col customWidth="1" min="21" max="21" width="15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8.38"/>
  </cols>
  <sheetData>
    <row r="1" ht="19.5" customHeight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</row>
    <row r="2">
      <c r="A2" s="22">
        <v>1.0</v>
      </c>
      <c r="B2" s="23" t="s">
        <v>822</v>
      </c>
      <c r="C2" s="23" t="s">
        <v>823</v>
      </c>
      <c r="D2" s="23" t="s">
        <v>226</v>
      </c>
      <c r="E2" s="23"/>
      <c r="F2" s="23"/>
      <c r="G2" s="23" t="s">
        <v>119</v>
      </c>
      <c r="H2" s="22">
        <v>2.11463002618E11</v>
      </c>
      <c r="I2" s="19" t="s">
        <v>824</v>
      </c>
      <c r="J2" s="134" t="s">
        <v>825</v>
      </c>
      <c r="K2" s="19" t="s">
        <v>828</v>
      </c>
      <c r="L2" s="22">
        <v>390000.0</v>
      </c>
      <c r="M2" s="23"/>
      <c r="N2" s="23"/>
      <c r="O2" s="23"/>
      <c r="P2" s="23">
        <f t="shared" ref="P2:P3" si="1">M2-O2</f>
        <v>0</v>
      </c>
      <c r="Q2" s="19" t="s">
        <v>28</v>
      </c>
      <c r="R2" s="19" t="s">
        <v>65</v>
      </c>
      <c r="S2" s="19" t="s">
        <v>67</v>
      </c>
      <c r="T2" s="27" t="s">
        <v>194</v>
      </c>
      <c r="U2" s="23" t="s">
        <v>70</v>
      </c>
      <c r="V2" s="20" t="s">
        <v>72</v>
      </c>
      <c r="W2" s="23"/>
      <c r="X2" s="23"/>
      <c r="Y2" s="23"/>
      <c r="Z2" s="23"/>
      <c r="AA2" s="28">
        <f t="shared" ref="AA2:AA3" si="2">P2-Y2-Z2</f>
        <v>0</v>
      </c>
      <c r="AB2" s="28">
        <f t="shared" ref="AB2:AB3" si="3">O2-W2-X2</f>
        <v>0</v>
      </c>
      <c r="AC2" s="28">
        <f t="shared" ref="AC2:AC3" si="4">AD2-AB2</f>
        <v>0</v>
      </c>
      <c r="AD2" s="28">
        <f t="shared" ref="AD2:AD3" si="5">N2-(W2+X2+Y2)</f>
        <v>0</v>
      </c>
      <c r="AE2" s="28">
        <f t="shared" ref="AE2:AE3" si="6">W2+X2+Y2+Z2</f>
        <v>0</v>
      </c>
      <c r="AF2" s="23"/>
      <c r="AG2" s="37"/>
      <c r="AH2" s="37"/>
      <c r="AI2" s="37"/>
      <c r="AJ2" s="37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</row>
    <row r="3">
      <c r="A3" s="119">
        <v>2.0</v>
      </c>
      <c r="B3" s="41" t="s">
        <v>20</v>
      </c>
      <c r="C3" s="41" t="s">
        <v>841</v>
      </c>
      <c r="D3" s="41" t="s">
        <v>104</v>
      </c>
      <c r="E3" s="35" t="s">
        <v>58</v>
      </c>
      <c r="F3" s="31" t="s">
        <v>119</v>
      </c>
      <c r="G3" s="41" t="s">
        <v>843</v>
      </c>
      <c r="H3" s="39">
        <v>2.1158405809E11</v>
      </c>
      <c r="I3" s="30">
        <v>9.785643805E9</v>
      </c>
      <c r="J3" s="41" t="s">
        <v>844</v>
      </c>
      <c r="K3" s="31" t="s">
        <v>845</v>
      </c>
      <c r="L3" s="35">
        <v>260000.0</v>
      </c>
      <c r="M3" s="35">
        <v>260000.0</v>
      </c>
      <c r="N3" s="35">
        <v>165762.0</v>
      </c>
      <c r="O3" s="39">
        <v>0.0</v>
      </c>
      <c r="P3" s="41">
        <f t="shared" si="1"/>
        <v>260000</v>
      </c>
      <c r="Q3" s="30" t="s">
        <v>82</v>
      </c>
      <c r="R3" s="31" t="s">
        <v>65</v>
      </c>
      <c r="S3" s="31" t="s">
        <v>74</v>
      </c>
      <c r="T3" s="38" t="s">
        <v>84</v>
      </c>
      <c r="U3" s="35" t="s">
        <v>207</v>
      </c>
      <c r="V3" s="35" t="s">
        <v>109</v>
      </c>
      <c r="W3" s="38">
        <v>0.0</v>
      </c>
      <c r="X3" s="35">
        <v>0.0</v>
      </c>
      <c r="Y3" s="36">
        <v>260000.0</v>
      </c>
      <c r="Z3" s="36"/>
      <c r="AA3" s="69">
        <f t="shared" si="2"/>
        <v>0</v>
      </c>
      <c r="AB3" s="69">
        <f t="shared" si="3"/>
        <v>0</v>
      </c>
      <c r="AC3" s="45">
        <f t="shared" si="4"/>
        <v>-94238</v>
      </c>
      <c r="AD3" s="69">
        <f t="shared" si="5"/>
        <v>-94238</v>
      </c>
      <c r="AE3" s="69">
        <f t="shared" si="6"/>
        <v>260000</v>
      </c>
      <c r="AF3" s="41"/>
      <c r="AG3" s="37"/>
      <c r="AH3" s="37"/>
      <c r="AI3" s="37"/>
      <c r="AJ3" s="37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</row>
    <row r="4">
      <c r="Q4" s="61"/>
      <c r="R4" s="61"/>
      <c r="S4" s="61"/>
      <c r="T4" s="16"/>
      <c r="U4" s="16"/>
      <c r="V4" s="16"/>
      <c r="AE4" s="37"/>
    </row>
    <row r="5">
      <c r="Q5" s="61"/>
      <c r="R5" s="61"/>
      <c r="S5" s="61"/>
      <c r="T5" s="16"/>
      <c r="U5" s="16"/>
      <c r="V5" s="16"/>
      <c r="AE5" s="37"/>
    </row>
    <row r="6">
      <c r="Q6" s="61"/>
      <c r="R6" s="61"/>
      <c r="S6" s="61"/>
      <c r="T6" s="16"/>
      <c r="U6" s="16"/>
      <c r="V6" s="16"/>
      <c r="AE6" s="37"/>
    </row>
    <row r="7">
      <c r="Q7" s="61"/>
      <c r="R7" s="61"/>
      <c r="S7" s="61"/>
      <c r="T7" s="16"/>
      <c r="U7" s="16"/>
      <c r="V7" s="16"/>
      <c r="AE7" s="37"/>
    </row>
    <row r="8">
      <c r="Q8" s="61"/>
      <c r="R8" s="61"/>
      <c r="S8" s="61"/>
      <c r="T8" s="16"/>
      <c r="U8" s="16"/>
      <c r="V8" s="16"/>
      <c r="AE8" s="37"/>
    </row>
    <row r="9">
      <c r="Q9" s="61"/>
      <c r="R9" s="61"/>
      <c r="S9" s="61"/>
      <c r="T9" s="16"/>
      <c r="U9" s="16"/>
      <c r="V9" s="16"/>
      <c r="AE9" s="37"/>
    </row>
    <row r="10">
      <c r="Q10" s="61"/>
      <c r="R10" s="61"/>
      <c r="S10" s="61"/>
      <c r="T10" s="16"/>
      <c r="U10" s="16"/>
      <c r="V10" s="16"/>
      <c r="AE10" s="37"/>
    </row>
    <row r="11">
      <c r="Q11" s="61"/>
      <c r="R11" s="61"/>
      <c r="S11" s="61"/>
      <c r="T11" s="16"/>
      <c r="U11" s="16"/>
      <c r="V11" s="16"/>
      <c r="AE11" s="37"/>
    </row>
    <row r="12">
      <c r="Q12" s="61"/>
      <c r="R12" s="61"/>
      <c r="S12" s="61"/>
      <c r="T12" s="16"/>
      <c r="U12" s="16"/>
      <c r="V12" s="16"/>
      <c r="AE12" s="37"/>
    </row>
    <row r="13">
      <c r="Q13" s="61"/>
      <c r="R13" s="61"/>
      <c r="S13" s="61"/>
      <c r="T13" s="16"/>
      <c r="U13" s="16"/>
      <c r="V13" s="16"/>
      <c r="AE13" s="37"/>
    </row>
    <row r="14">
      <c r="Q14" s="61"/>
      <c r="R14" s="61"/>
      <c r="S14" s="61"/>
      <c r="T14" s="16"/>
      <c r="U14" s="16"/>
      <c r="V14" s="16"/>
      <c r="AE14" s="37"/>
    </row>
    <row r="15">
      <c r="Q15" s="61"/>
      <c r="R15" s="61"/>
      <c r="S15" s="61"/>
      <c r="T15" s="16"/>
      <c r="U15" s="16"/>
      <c r="V15" s="16"/>
      <c r="AE15" s="37"/>
    </row>
    <row r="16">
      <c r="Q16" s="61"/>
      <c r="R16" s="61"/>
      <c r="S16" s="61"/>
      <c r="T16" s="16"/>
      <c r="U16" s="16"/>
      <c r="V16" s="16"/>
      <c r="AE16" s="37"/>
    </row>
    <row r="17">
      <c r="Q17" s="61"/>
      <c r="R17" s="61"/>
      <c r="S17" s="61"/>
      <c r="T17" s="16"/>
      <c r="U17" s="16"/>
      <c r="V17" s="16"/>
      <c r="AE17" s="37"/>
    </row>
    <row r="18">
      <c r="Q18" s="61"/>
      <c r="R18" s="61"/>
      <c r="S18" s="61"/>
      <c r="T18" s="16"/>
      <c r="U18" s="16"/>
      <c r="V18" s="16"/>
      <c r="AE18" s="37"/>
    </row>
    <row r="19">
      <c r="Q19" s="61"/>
      <c r="R19" s="61"/>
      <c r="S19" s="61"/>
      <c r="T19" s="16"/>
      <c r="U19" s="16"/>
      <c r="V19" s="16"/>
      <c r="AE19" s="37"/>
    </row>
    <row r="20">
      <c r="Q20" s="61"/>
      <c r="R20" s="61"/>
      <c r="S20" s="61"/>
      <c r="T20" s="16"/>
      <c r="U20" s="16"/>
      <c r="V20" s="16"/>
      <c r="AE20" s="37"/>
    </row>
    <row r="21">
      <c r="Q21" s="61"/>
      <c r="R21" s="61"/>
      <c r="S21" s="61"/>
      <c r="T21" s="16"/>
      <c r="U21" s="16"/>
      <c r="V21" s="16"/>
      <c r="AE21" s="45"/>
    </row>
    <row r="22">
      <c r="Q22" s="61"/>
      <c r="R22" s="61"/>
      <c r="S22" s="61"/>
      <c r="T22" s="16"/>
      <c r="U22" s="16"/>
      <c r="V22" s="16"/>
      <c r="AE22" s="45"/>
    </row>
    <row r="23">
      <c r="Q23" s="61"/>
      <c r="R23" s="61"/>
      <c r="S23" s="61"/>
      <c r="T23" s="16"/>
      <c r="U23" s="16"/>
      <c r="V23" s="16"/>
      <c r="AE23" s="45"/>
    </row>
    <row r="24">
      <c r="Q24" s="61"/>
      <c r="R24" s="61"/>
      <c r="S24" s="61"/>
      <c r="T24" s="16"/>
      <c r="U24" s="16"/>
      <c r="V24" s="16"/>
      <c r="AE24" s="45"/>
    </row>
    <row r="25">
      <c r="Q25" s="61"/>
      <c r="R25" s="61"/>
      <c r="S25" s="61"/>
      <c r="T25" s="16"/>
      <c r="U25" s="16"/>
      <c r="V25" s="16"/>
      <c r="AE25" s="45"/>
    </row>
    <row r="26">
      <c r="Q26" s="61"/>
      <c r="R26" s="61"/>
      <c r="S26" s="61"/>
      <c r="T26" s="16"/>
      <c r="U26" s="16"/>
      <c r="V26" s="16"/>
      <c r="AE26" s="45"/>
    </row>
    <row r="27">
      <c r="Q27" s="61"/>
      <c r="R27" s="61"/>
      <c r="S27" s="61"/>
      <c r="T27" s="16"/>
      <c r="U27" s="16"/>
      <c r="V27" s="16"/>
      <c r="AE27" s="45"/>
    </row>
    <row r="28">
      <c r="Q28" s="61"/>
      <c r="R28" s="61"/>
      <c r="S28" s="61"/>
      <c r="T28" s="16"/>
      <c r="U28" s="16"/>
      <c r="V28" s="16"/>
      <c r="AE28" s="45"/>
    </row>
    <row r="29">
      <c r="AE29" s="45"/>
    </row>
    <row r="30">
      <c r="AE30" s="45"/>
    </row>
    <row r="31">
      <c r="AE31" s="45"/>
    </row>
    <row r="32">
      <c r="AE32" s="45"/>
    </row>
    <row r="33">
      <c r="AE33" s="45"/>
    </row>
    <row r="34">
      <c r="AE34" s="45"/>
    </row>
    <row r="35">
      <c r="AE35" s="45"/>
    </row>
    <row r="36">
      <c r="AE36" s="45"/>
    </row>
    <row r="37">
      <c r="AE37" s="45"/>
    </row>
    <row r="38">
      <c r="AE38" s="45"/>
    </row>
    <row r="39">
      <c r="AE39" s="45"/>
    </row>
    <row r="40">
      <c r="AE40" s="45"/>
    </row>
    <row r="41">
      <c r="AE41" s="45"/>
    </row>
    <row r="42">
      <c r="AE42" s="45"/>
    </row>
    <row r="43">
      <c r="AE43" s="45"/>
    </row>
    <row r="44">
      <c r="AE44" s="45"/>
    </row>
    <row r="45">
      <c r="AE45" s="45"/>
    </row>
    <row r="46">
      <c r="AE46" s="45"/>
    </row>
    <row r="47">
      <c r="AE47" s="45"/>
    </row>
    <row r="48">
      <c r="AE48" s="45"/>
    </row>
    <row r="49">
      <c r="AE49" s="45"/>
    </row>
    <row r="50">
      <c r="AE50" s="45"/>
    </row>
    <row r="51">
      <c r="AE51" s="45"/>
    </row>
    <row r="52">
      <c r="AE52" s="45"/>
    </row>
    <row r="53">
      <c r="AE53" s="45"/>
    </row>
    <row r="54">
      <c r="AE54" s="45"/>
    </row>
    <row r="55">
      <c r="AE55" s="45"/>
    </row>
    <row r="56">
      <c r="AE56" s="45"/>
    </row>
    <row r="57">
      <c r="AE57" s="45"/>
    </row>
    <row r="58">
      <c r="AE58" s="45"/>
    </row>
    <row r="59">
      <c r="AE59" s="45"/>
    </row>
    <row r="60">
      <c r="AE60" s="45"/>
    </row>
    <row r="61">
      <c r="AE61" s="45"/>
    </row>
    <row r="62">
      <c r="AE62" s="45"/>
    </row>
    <row r="63">
      <c r="AE63" s="45"/>
    </row>
    <row r="64">
      <c r="AE64" s="45"/>
    </row>
    <row r="65">
      <c r="AE65" s="45"/>
    </row>
    <row r="66">
      <c r="AE66" s="45"/>
    </row>
    <row r="67">
      <c r="AE67" s="45"/>
    </row>
    <row r="68">
      <c r="AE68" s="45"/>
    </row>
    <row r="69">
      <c r="AE69" s="45"/>
    </row>
    <row r="70">
      <c r="AE70" s="45"/>
    </row>
    <row r="71">
      <c r="AE71" s="45"/>
    </row>
    <row r="72">
      <c r="AE72" s="45"/>
    </row>
    <row r="73">
      <c r="AE73" s="45"/>
    </row>
    <row r="74">
      <c r="AE74" s="45"/>
    </row>
    <row r="75">
      <c r="AE75" s="45"/>
    </row>
    <row r="76">
      <c r="AE76" s="45"/>
    </row>
    <row r="77">
      <c r="AE77" s="45"/>
    </row>
    <row r="78">
      <c r="AE78" s="45"/>
    </row>
    <row r="79">
      <c r="AE79" s="45"/>
    </row>
    <row r="80">
      <c r="AE80" s="45"/>
    </row>
    <row r="81">
      <c r="AE81" s="45"/>
    </row>
    <row r="82">
      <c r="AE82" s="45"/>
    </row>
    <row r="83">
      <c r="AE83" s="45"/>
    </row>
    <row r="84">
      <c r="AE84" s="45"/>
    </row>
    <row r="85">
      <c r="AE85" s="45"/>
    </row>
    <row r="86">
      <c r="AE86" s="45"/>
    </row>
    <row r="87">
      <c r="AE87" s="45"/>
    </row>
    <row r="88">
      <c r="AE88" s="45"/>
    </row>
    <row r="89">
      <c r="AE89" s="45"/>
    </row>
    <row r="90">
      <c r="AE90" s="45"/>
    </row>
    <row r="91">
      <c r="AE91" s="45"/>
    </row>
    <row r="92">
      <c r="AE92" s="45"/>
    </row>
    <row r="93">
      <c r="AE93" s="45"/>
    </row>
    <row r="94">
      <c r="AE94" s="45"/>
    </row>
    <row r="95">
      <c r="AE95" s="45"/>
    </row>
    <row r="96">
      <c r="AE96" s="45"/>
    </row>
    <row r="97">
      <c r="AE97" s="45"/>
    </row>
    <row r="98">
      <c r="AE98" s="45"/>
    </row>
    <row r="99">
      <c r="AE99" s="45"/>
    </row>
    <row r="100">
      <c r="AE100" s="45"/>
    </row>
    <row r="101">
      <c r="AE101" s="45"/>
    </row>
    <row r="102">
      <c r="AE102" s="45"/>
    </row>
    <row r="103">
      <c r="AE103" s="45"/>
    </row>
    <row r="104">
      <c r="AE104" s="45"/>
    </row>
    <row r="105">
      <c r="AE105" s="45"/>
    </row>
    <row r="106">
      <c r="AE106" s="45"/>
    </row>
    <row r="107">
      <c r="AE107" s="45"/>
    </row>
    <row r="108">
      <c r="AE108" s="45"/>
    </row>
    <row r="109">
      <c r="AE109" s="45"/>
    </row>
    <row r="110">
      <c r="AE110" s="45"/>
    </row>
    <row r="111">
      <c r="AE111" s="45"/>
    </row>
    <row r="112">
      <c r="AE112" s="45"/>
    </row>
    <row r="113">
      <c r="AE113" s="45"/>
    </row>
    <row r="114">
      <c r="AE114" s="45"/>
    </row>
    <row r="115">
      <c r="AE115" s="45"/>
    </row>
    <row r="116">
      <c r="AE116" s="45"/>
    </row>
    <row r="117">
      <c r="AE117" s="45"/>
    </row>
    <row r="118">
      <c r="AE118" s="45"/>
    </row>
    <row r="119">
      <c r="AE119" s="45"/>
    </row>
    <row r="120">
      <c r="AE120" s="45"/>
    </row>
    <row r="121">
      <c r="AE121" s="42"/>
    </row>
    <row r="122">
      <c r="AE122" s="42"/>
    </row>
    <row r="123">
      <c r="AE123" s="42"/>
    </row>
    <row r="124">
      <c r="AE124" s="42"/>
    </row>
    <row r="125">
      <c r="AE125" s="42"/>
    </row>
    <row r="126">
      <c r="AE126" s="42"/>
    </row>
    <row r="127">
      <c r="AE127" s="42"/>
    </row>
    <row r="128">
      <c r="AE128" s="42"/>
    </row>
    <row r="129">
      <c r="AE129" s="42"/>
    </row>
    <row r="130">
      <c r="AE130" s="42"/>
    </row>
    <row r="131">
      <c r="AE131" s="42"/>
    </row>
    <row r="132">
      <c r="AE132" s="42"/>
    </row>
    <row r="133">
      <c r="AE133" s="42"/>
    </row>
    <row r="134">
      <c r="AE134" s="42"/>
    </row>
    <row r="135">
      <c r="AE135" s="42"/>
    </row>
    <row r="136">
      <c r="AE136" s="42"/>
    </row>
    <row r="137">
      <c r="AE137" s="42"/>
    </row>
    <row r="138">
      <c r="AE138" s="42"/>
    </row>
    <row r="139">
      <c r="AE139" s="42"/>
    </row>
    <row r="140">
      <c r="AE140" s="42"/>
    </row>
    <row r="141">
      <c r="AE141" s="42"/>
    </row>
    <row r="142">
      <c r="AE142" s="42"/>
    </row>
    <row r="143">
      <c r="AE143" s="42"/>
    </row>
    <row r="144">
      <c r="AE144" s="42"/>
    </row>
    <row r="145">
      <c r="AE145" s="42"/>
    </row>
    <row r="146">
      <c r="AE146" s="42"/>
    </row>
    <row r="147">
      <c r="AE147" s="42"/>
    </row>
    <row r="148">
      <c r="AE148" s="42"/>
    </row>
    <row r="149">
      <c r="AE149" s="42"/>
    </row>
    <row r="150">
      <c r="AE150" s="42"/>
    </row>
    <row r="151">
      <c r="AE151" s="42"/>
    </row>
    <row r="152">
      <c r="AE152" s="42"/>
    </row>
    <row r="153">
      <c r="AE153" s="42"/>
    </row>
    <row r="154">
      <c r="AE154" s="42"/>
    </row>
    <row r="155">
      <c r="AE155" s="42"/>
    </row>
    <row r="156">
      <c r="AE156" s="42"/>
    </row>
    <row r="157">
      <c r="AE157" s="42"/>
    </row>
    <row r="158">
      <c r="AE158" s="42"/>
    </row>
    <row r="159">
      <c r="AE159" s="42"/>
    </row>
    <row r="160">
      <c r="AE160" s="42"/>
    </row>
    <row r="161">
      <c r="AE161" s="42"/>
    </row>
    <row r="162">
      <c r="AE162" s="42"/>
    </row>
    <row r="163">
      <c r="AE163" s="42"/>
    </row>
    <row r="164">
      <c r="AE164" s="42"/>
    </row>
    <row r="165">
      <c r="AE165" s="42"/>
    </row>
    <row r="166">
      <c r="AE166" s="42"/>
    </row>
    <row r="167">
      <c r="AE167" s="42"/>
    </row>
    <row r="168">
      <c r="AE168" s="42"/>
    </row>
    <row r="169">
      <c r="AE169" s="42"/>
    </row>
    <row r="170">
      <c r="AE170" s="42"/>
    </row>
    <row r="171">
      <c r="AE171" s="42"/>
    </row>
    <row r="172">
      <c r="AE172" s="42"/>
    </row>
    <row r="173">
      <c r="AE173" s="42"/>
    </row>
    <row r="174">
      <c r="AE174" s="42"/>
    </row>
    <row r="175">
      <c r="AE175" s="42"/>
    </row>
    <row r="176">
      <c r="AE176" s="42"/>
    </row>
    <row r="177">
      <c r="AE177" s="42"/>
    </row>
    <row r="178">
      <c r="AE178" s="42"/>
    </row>
    <row r="179">
      <c r="AE179" s="42"/>
    </row>
    <row r="180">
      <c r="AE180" s="42"/>
    </row>
    <row r="181">
      <c r="AE181" s="42"/>
    </row>
    <row r="182">
      <c r="AE182" s="42"/>
    </row>
    <row r="183">
      <c r="AE183" s="42"/>
    </row>
    <row r="184">
      <c r="AE184" s="42"/>
    </row>
    <row r="185">
      <c r="AE185" s="42"/>
    </row>
    <row r="186">
      <c r="AE186" s="42"/>
    </row>
    <row r="187">
      <c r="AE187" s="42"/>
    </row>
    <row r="188">
      <c r="AE188" s="42"/>
    </row>
    <row r="189">
      <c r="AE189" s="42"/>
    </row>
    <row r="190">
      <c r="AE190" s="42"/>
    </row>
    <row r="191">
      <c r="AE191" s="42"/>
    </row>
    <row r="192">
      <c r="AE192" s="42"/>
    </row>
    <row r="193">
      <c r="AE193" s="42"/>
    </row>
    <row r="194">
      <c r="AE194" s="42"/>
    </row>
    <row r="195">
      <c r="AE195" s="42"/>
    </row>
    <row r="196">
      <c r="AE196" s="42"/>
    </row>
    <row r="197">
      <c r="AE197" s="42"/>
    </row>
    <row r="198">
      <c r="AE198" s="42"/>
    </row>
    <row r="199">
      <c r="AE199" s="42"/>
    </row>
    <row r="200">
      <c r="AE200" s="42"/>
    </row>
    <row r="201">
      <c r="AE201" s="42"/>
    </row>
    <row r="202">
      <c r="AE202" s="42"/>
    </row>
    <row r="203">
      <c r="AE203" s="42"/>
    </row>
    <row r="204">
      <c r="AE204" s="42"/>
    </row>
    <row r="205">
      <c r="AE205" s="42"/>
    </row>
    <row r="206">
      <c r="AE206" s="42"/>
    </row>
    <row r="207">
      <c r="AE207" s="42"/>
    </row>
    <row r="208">
      <c r="AE208" s="42"/>
    </row>
    <row r="209">
      <c r="AE209" s="42"/>
    </row>
    <row r="210">
      <c r="AE210" s="42"/>
    </row>
    <row r="211">
      <c r="AE211" s="42"/>
    </row>
    <row r="212">
      <c r="AE212" s="42"/>
    </row>
    <row r="213">
      <c r="AE213" s="42"/>
    </row>
    <row r="214">
      <c r="AE214" s="42"/>
    </row>
    <row r="215">
      <c r="AE215" s="42"/>
    </row>
    <row r="216">
      <c r="AE216" s="42"/>
    </row>
    <row r="217">
      <c r="AE217" s="42"/>
    </row>
    <row r="218">
      <c r="AE218" s="42"/>
    </row>
    <row r="219">
      <c r="AE219" s="42"/>
    </row>
    <row r="220">
      <c r="AE220" s="42"/>
    </row>
    <row r="221">
      <c r="AE221" s="42"/>
    </row>
    <row r="222">
      <c r="AE222" s="42"/>
    </row>
    <row r="223">
      <c r="AE223" s="42"/>
    </row>
    <row r="224">
      <c r="AE224" s="42"/>
    </row>
    <row r="225">
      <c r="AE225" s="42"/>
    </row>
    <row r="226">
      <c r="AE226" s="42"/>
    </row>
    <row r="227">
      <c r="AE227" s="42"/>
    </row>
    <row r="228">
      <c r="AE228" s="42"/>
    </row>
    <row r="229">
      <c r="AE229" s="42"/>
    </row>
    <row r="230">
      <c r="AE230" s="42"/>
    </row>
    <row r="231">
      <c r="AE231" s="42"/>
    </row>
    <row r="232">
      <c r="AE232" s="42"/>
    </row>
    <row r="233">
      <c r="AE233" s="42"/>
    </row>
    <row r="234">
      <c r="AE234" s="42"/>
    </row>
    <row r="235">
      <c r="AE235" s="42"/>
    </row>
    <row r="236">
      <c r="AE236" s="42"/>
    </row>
    <row r="237">
      <c r="AE237" s="42"/>
    </row>
    <row r="238">
      <c r="AE238" s="42"/>
    </row>
    <row r="239">
      <c r="AE239" s="42"/>
    </row>
    <row r="240">
      <c r="AE240" s="42"/>
    </row>
    <row r="241">
      <c r="AE241" s="42"/>
    </row>
    <row r="242">
      <c r="AE242" s="42"/>
    </row>
    <row r="243">
      <c r="AE243" s="42"/>
    </row>
    <row r="244">
      <c r="AE244" s="42"/>
    </row>
    <row r="245">
      <c r="AE245" s="42"/>
    </row>
    <row r="246">
      <c r="AE246" s="42"/>
    </row>
    <row r="247">
      <c r="AE247" s="42"/>
    </row>
    <row r="248">
      <c r="AE248" s="42"/>
    </row>
    <row r="249">
      <c r="AE249" s="42"/>
    </row>
    <row r="250">
      <c r="AE250" s="42"/>
    </row>
    <row r="251">
      <c r="AE251" s="42"/>
    </row>
    <row r="252">
      <c r="AE252" s="42"/>
    </row>
    <row r="253">
      <c r="AE253" s="42"/>
    </row>
    <row r="254">
      <c r="AE254" s="42"/>
    </row>
    <row r="255">
      <c r="AE255" s="42"/>
    </row>
    <row r="256">
      <c r="AE256" s="42"/>
    </row>
    <row r="257">
      <c r="AE257" s="42"/>
    </row>
    <row r="258">
      <c r="AE258" s="42"/>
    </row>
    <row r="259">
      <c r="AE259" s="42"/>
    </row>
    <row r="260">
      <c r="AE260" s="42"/>
    </row>
    <row r="261">
      <c r="AE261" s="42"/>
    </row>
    <row r="262">
      <c r="AE262" s="42"/>
    </row>
    <row r="263">
      <c r="AE263" s="42"/>
    </row>
    <row r="264">
      <c r="AE264" s="42"/>
    </row>
    <row r="265">
      <c r="AE265" s="42"/>
    </row>
    <row r="266">
      <c r="AE266" s="42"/>
    </row>
    <row r="267">
      <c r="AE267" s="42"/>
    </row>
    <row r="268">
      <c r="AE268" s="42"/>
    </row>
    <row r="269">
      <c r="AE269" s="42"/>
    </row>
    <row r="270">
      <c r="AE270" s="42"/>
    </row>
    <row r="271">
      <c r="AE271" s="42"/>
    </row>
    <row r="272">
      <c r="AE272" s="42"/>
    </row>
    <row r="273">
      <c r="AE273" s="42"/>
    </row>
    <row r="274">
      <c r="AE274" s="42"/>
    </row>
    <row r="275">
      <c r="AE275" s="42"/>
    </row>
    <row r="276">
      <c r="AE276" s="42"/>
    </row>
    <row r="277">
      <c r="AE277" s="42"/>
    </row>
    <row r="278">
      <c r="AE278" s="42"/>
    </row>
    <row r="279">
      <c r="AE279" s="42"/>
    </row>
    <row r="280">
      <c r="AE280" s="42"/>
    </row>
    <row r="281">
      <c r="AE281" s="42"/>
    </row>
    <row r="282">
      <c r="AE282" s="42"/>
    </row>
    <row r="283">
      <c r="AE283" s="42"/>
    </row>
    <row r="284">
      <c r="AE284" s="42"/>
    </row>
    <row r="285">
      <c r="AE285" s="42"/>
    </row>
    <row r="286">
      <c r="AE286" s="42"/>
    </row>
    <row r="287">
      <c r="AE287" s="42"/>
    </row>
    <row r="288">
      <c r="AE288" s="42"/>
    </row>
    <row r="289">
      <c r="AE289" s="42"/>
    </row>
    <row r="290">
      <c r="AE290" s="42"/>
    </row>
    <row r="291">
      <c r="AE291" s="42"/>
    </row>
    <row r="292">
      <c r="AE292" s="42"/>
    </row>
    <row r="293">
      <c r="AE293" s="42"/>
    </row>
    <row r="294">
      <c r="AE294" s="42"/>
    </row>
    <row r="295">
      <c r="AE295" s="42"/>
    </row>
    <row r="296">
      <c r="AE296" s="42"/>
    </row>
    <row r="297">
      <c r="AE297" s="42"/>
    </row>
    <row r="298">
      <c r="AE298" s="42"/>
    </row>
    <row r="299">
      <c r="AE299" s="42"/>
    </row>
    <row r="300">
      <c r="AE300" s="42"/>
    </row>
    <row r="301">
      <c r="AE301" s="42"/>
    </row>
    <row r="302">
      <c r="AE302" s="42"/>
    </row>
    <row r="303">
      <c r="AE303" s="42"/>
    </row>
    <row r="304">
      <c r="AE304" s="42"/>
    </row>
    <row r="305">
      <c r="AE305" s="42"/>
    </row>
    <row r="306">
      <c r="AE306" s="42"/>
    </row>
    <row r="307">
      <c r="AE307" s="42"/>
    </row>
    <row r="308">
      <c r="AE308" s="42"/>
    </row>
    <row r="309">
      <c r="AE309" s="42"/>
    </row>
    <row r="310">
      <c r="AE310" s="42"/>
    </row>
    <row r="311">
      <c r="AE311" s="42"/>
    </row>
    <row r="312">
      <c r="AE312" s="42"/>
    </row>
    <row r="313">
      <c r="AE313" s="42"/>
    </row>
    <row r="314">
      <c r="AE314" s="42"/>
    </row>
    <row r="315">
      <c r="AE315" s="42"/>
    </row>
    <row r="316">
      <c r="AE316" s="42"/>
    </row>
    <row r="317">
      <c r="AE317" s="42"/>
    </row>
    <row r="318">
      <c r="AE318" s="42"/>
    </row>
    <row r="319">
      <c r="AE319" s="42"/>
    </row>
    <row r="320">
      <c r="AE320" s="42"/>
    </row>
    <row r="321">
      <c r="AE321" s="42"/>
    </row>
    <row r="322">
      <c r="AE322" s="42"/>
    </row>
    <row r="323">
      <c r="AE323" s="42"/>
    </row>
    <row r="324">
      <c r="AE324" s="42"/>
    </row>
    <row r="325">
      <c r="AE325" s="42"/>
    </row>
    <row r="326">
      <c r="AE326" s="42"/>
    </row>
    <row r="327">
      <c r="AE327" s="42"/>
    </row>
    <row r="328">
      <c r="AE328" s="42"/>
    </row>
    <row r="329">
      <c r="AE329" s="42"/>
    </row>
    <row r="330">
      <c r="AE330" s="42"/>
    </row>
    <row r="331">
      <c r="AE331" s="42"/>
    </row>
    <row r="332">
      <c r="AE332" s="42"/>
    </row>
    <row r="333">
      <c r="AE333" s="42"/>
    </row>
    <row r="334">
      <c r="AE334" s="42"/>
    </row>
    <row r="335">
      <c r="AE335" s="42"/>
    </row>
    <row r="336">
      <c r="AE336" s="42"/>
    </row>
    <row r="337">
      <c r="AE337" s="42"/>
    </row>
    <row r="338">
      <c r="AE338" s="42"/>
    </row>
    <row r="339">
      <c r="AE339" s="42"/>
    </row>
    <row r="340">
      <c r="AE340" s="42"/>
    </row>
    <row r="341">
      <c r="AE341" s="42"/>
    </row>
    <row r="342">
      <c r="AE342" s="42"/>
    </row>
    <row r="343">
      <c r="AE343" s="42"/>
    </row>
    <row r="344">
      <c r="AE344" s="42"/>
    </row>
    <row r="345">
      <c r="AE345" s="42"/>
    </row>
    <row r="346">
      <c r="AE346" s="42"/>
    </row>
    <row r="347">
      <c r="AE347" s="42"/>
    </row>
    <row r="348">
      <c r="AE348" s="42"/>
    </row>
    <row r="349">
      <c r="AE349" s="42"/>
    </row>
    <row r="350">
      <c r="AE350" s="42"/>
    </row>
    <row r="351">
      <c r="AE351" s="42"/>
    </row>
    <row r="352">
      <c r="AE352" s="42"/>
    </row>
    <row r="353">
      <c r="AE353" s="42"/>
    </row>
    <row r="354">
      <c r="AE354" s="42"/>
    </row>
    <row r="355">
      <c r="AE355" s="42"/>
    </row>
    <row r="356">
      <c r="AE356" s="42"/>
    </row>
    <row r="357">
      <c r="AE357" s="42"/>
    </row>
    <row r="358">
      <c r="AE358" s="42"/>
    </row>
    <row r="359">
      <c r="AE359" s="42"/>
    </row>
    <row r="360">
      <c r="AE360" s="42"/>
    </row>
    <row r="361">
      <c r="AE361" s="42"/>
    </row>
    <row r="362">
      <c r="AE362" s="42"/>
    </row>
    <row r="363">
      <c r="AE363" s="42"/>
    </row>
    <row r="364">
      <c r="AE364" s="42"/>
    </row>
    <row r="365">
      <c r="AE365" s="42"/>
    </row>
    <row r="366">
      <c r="AE366" s="42"/>
    </row>
    <row r="367">
      <c r="AE367" s="42"/>
    </row>
    <row r="368">
      <c r="AE368" s="42"/>
    </row>
    <row r="369">
      <c r="AE369" s="42"/>
    </row>
    <row r="370">
      <c r="AE370" s="42"/>
    </row>
    <row r="371">
      <c r="AE371" s="42"/>
    </row>
    <row r="372">
      <c r="AE372" s="42"/>
    </row>
    <row r="373">
      <c r="AE373" s="42"/>
    </row>
    <row r="374">
      <c r="AE374" s="42"/>
    </row>
    <row r="375">
      <c r="AE375" s="42"/>
    </row>
    <row r="376">
      <c r="AE376" s="42"/>
    </row>
    <row r="377">
      <c r="AE377" s="42"/>
    </row>
    <row r="378">
      <c r="AE378" s="42"/>
    </row>
    <row r="379">
      <c r="AE379" s="42"/>
    </row>
    <row r="380">
      <c r="AE380" s="42"/>
    </row>
    <row r="381">
      <c r="AE381" s="42"/>
    </row>
    <row r="382">
      <c r="AE382" s="42"/>
    </row>
    <row r="383">
      <c r="AE383" s="42"/>
    </row>
    <row r="384">
      <c r="AE384" s="42"/>
    </row>
    <row r="385">
      <c r="AE385" s="42"/>
    </row>
    <row r="386">
      <c r="AE386" s="42"/>
    </row>
    <row r="387">
      <c r="AE387" s="42"/>
    </row>
    <row r="388">
      <c r="AE388" s="42"/>
    </row>
    <row r="389">
      <c r="AE389" s="42"/>
    </row>
    <row r="390">
      <c r="AE390" s="42"/>
    </row>
    <row r="391">
      <c r="AE391" s="42"/>
    </row>
    <row r="392">
      <c r="AE392" s="42"/>
    </row>
    <row r="393">
      <c r="AE393" s="42"/>
    </row>
    <row r="394">
      <c r="AE394" s="42"/>
    </row>
    <row r="395">
      <c r="AE395" s="42"/>
    </row>
    <row r="396">
      <c r="AE396" s="42"/>
    </row>
    <row r="397">
      <c r="AE397" s="42"/>
    </row>
    <row r="398">
      <c r="AE398" s="42"/>
    </row>
    <row r="399">
      <c r="AE399" s="42"/>
    </row>
    <row r="400">
      <c r="AE400" s="42"/>
    </row>
    <row r="401">
      <c r="AE401" s="42"/>
    </row>
    <row r="402">
      <c r="AE402" s="42"/>
    </row>
    <row r="403">
      <c r="AE403" s="42"/>
    </row>
    <row r="404">
      <c r="AE404" s="42"/>
    </row>
    <row r="405">
      <c r="AE405" s="42"/>
    </row>
    <row r="406">
      <c r="AE406" s="42"/>
    </row>
    <row r="407">
      <c r="AE407" s="42"/>
    </row>
    <row r="408">
      <c r="AE408" s="42"/>
    </row>
    <row r="409">
      <c r="AE409" s="42"/>
    </row>
    <row r="410">
      <c r="AE410" s="42"/>
    </row>
    <row r="411">
      <c r="AE411" s="42"/>
    </row>
    <row r="412">
      <c r="AE412" s="42"/>
    </row>
    <row r="413">
      <c r="AE413" s="42"/>
    </row>
    <row r="414">
      <c r="AE414" s="42"/>
    </row>
    <row r="415">
      <c r="AE415" s="42"/>
    </row>
    <row r="416">
      <c r="AE416" s="42"/>
    </row>
    <row r="417">
      <c r="AE417" s="42"/>
    </row>
    <row r="418">
      <c r="AE418" s="42"/>
    </row>
    <row r="419">
      <c r="AE419" s="42"/>
    </row>
    <row r="420">
      <c r="AE420" s="42"/>
    </row>
    <row r="421">
      <c r="AE421" s="42"/>
    </row>
    <row r="422">
      <c r="AE422" s="42"/>
    </row>
    <row r="423">
      <c r="AE423" s="42"/>
    </row>
    <row r="424">
      <c r="AE424" s="42"/>
    </row>
    <row r="425">
      <c r="AE425" s="42"/>
    </row>
    <row r="426">
      <c r="AE426" s="42"/>
    </row>
    <row r="427">
      <c r="AE427" s="42"/>
    </row>
    <row r="428">
      <c r="AE428" s="42"/>
    </row>
    <row r="429">
      <c r="AE429" s="42"/>
    </row>
    <row r="430">
      <c r="AE430" s="42"/>
    </row>
    <row r="431">
      <c r="AE431" s="42"/>
    </row>
    <row r="432">
      <c r="AE432" s="42"/>
    </row>
    <row r="433">
      <c r="AE433" s="42"/>
    </row>
    <row r="434">
      <c r="AE434" s="42"/>
    </row>
    <row r="435">
      <c r="AE435" s="42"/>
    </row>
    <row r="436">
      <c r="AE436" s="42"/>
    </row>
    <row r="437">
      <c r="AE437" s="42"/>
    </row>
    <row r="438">
      <c r="AE438" s="42"/>
    </row>
    <row r="439">
      <c r="AE439" s="42"/>
    </row>
    <row r="440">
      <c r="AE440" s="42"/>
    </row>
    <row r="441">
      <c r="AE441" s="42"/>
    </row>
    <row r="442">
      <c r="AE442" s="42"/>
    </row>
    <row r="443">
      <c r="AE443" s="42"/>
    </row>
    <row r="444">
      <c r="AE444" s="42"/>
    </row>
    <row r="445">
      <c r="AE445" s="42"/>
    </row>
    <row r="446">
      <c r="AE446" s="42"/>
    </row>
    <row r="447">
      <c r="AE447" s="42"/>
    </row>
    <row r="448">
      <c r="AE448" s="42"/>
    </row>
    <row r="449">
      <c r="AE449" s="42"/>
    </row>
    <row r="450">
      <c r="AE450" s="42"/>
    </row>
    <row r="451">
      <c r="AE451" s="42"/>
    </row>
    <row r="452">
      <c r="AE452" s="42"/>
    </row>
    <row r="453">
      <c r="AE453" s="42"/>
    </row>
    <row r="454">
      <c r="AE454" s="42"/>
    </row>
    <row r="455">
      <c r="AE455" s="42"/>
    </row>
    <row r="456">
      <c r="AE456" s="42"/>
    </row>
    <row r="457">
      <c r="AE457" s="42"/>
    </row>
    <row r="458">
      <c r="AE458" s="42"/>
    </row>
    <row r="459">
      <c r="AE459" s="42"/>
    </row>
    <row r="460">
      <c r="AE460" s="42"/>
    </row>
    <row r="461">
      <c r="AE461" s="42"/>
    </row>
    <row r="462">
      <c r="AE462" s="42"/>
    </row>
    <row r="463">
      <c r="AE463" s="42"/>
    </row>
    <row r="464">
      <c r="AE464" s="42"/>
    </row>
    <row r="465">
      <c r="AE465" s="42"/>
    </row>
    <row r="466">
      <c r="AE466" s="42"/>
    </row>
    <row r="467">
      <c r="AE467" s="42"/>
    </row>
    <row r="468">
      <c r="AE468" s="42"/>
    </row>
    <row r="469">
      <c r="AE469" s="42"/>
    </row>
    <row r="470">
      <c r="AE470" s="42"/>
    </row>
    <row r="471">
      <c r="AE471" s="42"/>
    </row>
    <row r="472">
      <c r="AE472" s="42"/>
    </row>
    <row r="473">
      <c r="AE473" s="42"/>
    </row>
    <row r="474">
      <c r="AE474" s="42"/>
    </row>
    <row r="475">
      <c r="AE475" s="42"/>
    </row>
    <row r="476">
      <c r="AE476" s="42"/>
    </row>
    <row r="477">
      <c r="AE477" s="42"/>
    </row>
    <row r="478">
      <c r="AE478" s="42"/>
    </row>
    <row r="479">
      <c r="AE479" s="42"/>
    </row>
    <row r="480">
      <c r="AE480" s="42"/>
    </row>
    <row r="481">
      <c r="AE481" s="42"/>
    </row>
    <row r="482">
      <c r="AE482" s="42"/>
    </row>
    <row r="483">
      <c r="AE483" s="42"/>
    </row>
    <row r="484">
      <c r="AE484" s="42"/>
    </row>
    <row r="485">
      <c r="AE485" s="42"/>
    </row>
    <row r="486">
      <c r="AE486" s="42"/>
    </row>
    <row r="487">
      <c r="AE487" s="42"/>
    </row>
    <row r="488">
      <c r="AE488" s="42"/>
    </row>
    <row r="489">
      <c r="AE489" s="42"/>
    </row>
    <row r="490">
      <c r="AE490" s="42"/>
    </row>
    <row r="491">
      <c r="AE491" s="42"/>
    </row>
    <row r="492">
      <c r="AE492" s="42"/>
    </row>
    <row r="493">
      <c r="AE493" s="42"/>
    </row>
    <row r="494">
      <c r="AE494" s="42"/>
    </row>
    <row r="495">
      <c r="AE495" s="42"/>
    </row>
    <row r="496">
      <c r="AE496" s="42"/>
    </row>
    <row r="497">
      <c r="AE497" s="42"/>
    </row>
    <row r="498">
      <c r="AE498" s="42"/>
    </row>
    <row r="499">
      <c r="AE499" s="42"/>
    </row>
    <row r="500">
      <c r="AE500" s="42"/>
    </row>
    <row r="501">
      <c r="AE501" s="42"/>
    </row>
    <row r="502">
      <c r="AE502" s="42"/>
    </row>
    <row r="503">
      <c r="AE503" s="42"/>
    </row>
    <row r="504">
      <c r="AE504" s="42"/>
    </row>
    <row r="505">
      <c r="AE505" s="42"/>
    </row>
    <row r="506">
      <c r="AE506" s="42"/>
    </row>
    <row r="507">
      <c r="AE507" s="42"/>
    </row>
    <row r="508">
      <c r="AE508" s="42"/>
    </row>
    <row r="509">
      <c r="AE509" s="42"/>
    </row>
    <row r="510">
      <c r="AE510" s="42"/>
    </row>
    <row r="511">
      <c r="AE511" s="42"/>
    </row>
    <row r="512">
      <c r="AE512" s="42"/>
    </row>
    <row r="513">
      <c r="AE513" s="42"/>
    </row>
    <row r="514">
      <c r="AE514" s="42"/>
    </row>
    <row r="515">
      <c r="AE515" s="42"/>
    </row>
    <row r="516">
      <c r="AE516" s="42"/>
    </row>
    <row r="517">
      <c r="AE517" s="42"/>
    </row>
    <row r="518">
      <c r="AE518" s="42"/>
    </row>
    <row r="519">
      <c r="AE519" s="42"/>
    </row>
    <row r="520">
      <c r="AE520" s="42"/>
    </row>
    <row r="521">
      <c r="AE521" s="42"/>
    </row>
    <row r="522">
      <c r="AE522" s="42"/>
    </row>
    <row r="523">
      <c r="AE523" s="42"/>
    </row>
    <row r="524">
      <c r="AE524" s="42"/>
    </row>
    <row r="525">
      <c r="AE525" s="42"/>
    </row>
    <row r="526">
      <c r="AE526" s="42"/>
    </row>
    <row r="527">
      <c r="AE527" s="42"/>
    </row>
    <row r="528">
      <c r="AE528" s="42"/>
    </row>
    <row r="529">
      <c r="AE529" s="42"/>
    </row>
    <row r="530">
      <c r="AE530" s="42"/>
    </row>
    <row r="531">
      <c r="AE531" s="42"/>
    </row>
    <row r="532">
      <c r="AE532" s="42"/>
    </row>
    <row r="533">
      <c r="AE533" s="42"/>
    </row>
    <row r="534">
      <c r="AE534" s="42"/>
    </row>
    <row r="535">
      <c r="AE535" s="42"/>
    </row>
    <row r="536">
      <c r="AE536" s="42"/>
    </row>
    <row r="537">
      <c r="AE537" s="42"/>
    </row>
    <row r="538">
      <c r="AE538" s="42"/>
    </row>
    <row r="539">
      <c r="AE539" s="42"/>
    </row>
    <row r="540">
      <c r="AE540" s="42"/>
    </row>
    <row r="541">
      <c r="AE541" s="42"/>
    </row>
    <row r="542">
      <c r="AE542" s="42"/>
    </row>
    <row r="543">
      <c r="AE543" s="42"/>
    </row>
    <row r="544">
      <c r="AE544" s="42"/>
    </row>
    <row r="545">
      <c r="AE545" s="42"/>
    </row>
    <row r="546">
      <c r="AE546" s="42"/>
    </row>
    <row r="547">
      <c r="AE547" s="42"/>
    </row>
    <row r="548">
      <c r="AE548" s="42"/>
    </row>
    <row r="549">
      <c r="AE549" s="42"/>
    </row>
    <row r="550">
      <c r="AE550" s="42"/>
    </row>
    <row r="551">
      <c r="AE551" s="42"/>
    </row>
    <row r="552">
      <c r="AE552" s="42"/>
    </row>
    <row r="553">
      <c r="AE553" s="42"/>
    </row>
    <row r="554">
      <c r="AE554" s="42"/>
    </row>
    <row r="555">
      <c r="AE555" s="42"/>
    </row>
    <row r="556">
      <c r="AE556" s="42"/>
    </row>
    <row r="557">
      <c r="AE557" s="42"/>
    </row>
    <row r="558">
      <c r="AE558" s="42"/>
    </row>
    <row r="559">
      <c r="AE559" s="42"/>
    </row>
    <row r="560">
      <c r="AE560" s="42"/>
    </row>
    <row r="561">
      <c r="AE561" s="42"/>
    </row>
    <row r="562">
      <c r="AE562" s="42"/>
    </row>
    <row r="563">
      <c r="AE563" s="42"/>
    </row>
    <row r="564">
      <c r="AE564" s="42"/>
    </row>
    <row r="565">
      <c r="AE565" s="42"/>
    </row>
    <row r="566">
      <c r="AE566" s="42"/>
    </row>
    <row r="567">
      <c r="AE567" s="42"/>
    </row>
    <row r="568">
      <c r="AE568" s="42"/>
    </row>
    <row r="569">
      <c r="AE569" s="42"/>
    </row>
    <row r="570">
      <c r="AE570" s="42"/>
    </row>
    <row r="571">
      <c r="AE571" s="42"/>
    </row>
    <row r="572">
      <c r="AE572" s="42"/>
    </row>
    <row r="573">
      <c r="AE573" s="42"/>
    </row>
    <row r="574">
      <c r="AE574" s="42"/>
    </row>
    <row r="575">
      <c r="AE575" s="42"/>
    </row>
    <row r="576">
      <c r="AE576" s="42"/>
    </row>
    <row r="577">
      <c r="AE577" s="42"/>
    </row>
    <row r="578">
      <c r="AE578" s="42"/>
    </row>
    <row r="579">
      <c r="AE579" s="42"/>
    </row>
    <row r="580">
      <c r="AE580" s="42"/>
    </row>
    <row r="581">
      <c r="AE581" s="42"/>
    </row>
    <row r="582">
      <c r="AE582" s="42"/>
    </row>
    <row r="583">
      <c r="AE583" s="42"/>
    </row>
    <row r="584">
      <c r="AE584" s="42"/>
    </row>
    <row r="585">
      <c r="AE585" s="42"/>
    </row>
    <row r="586">
      <c r="AE586" s="42"/>
    </row>
    <row r="587">
      <c r="AE587" s="42"/>
    </row>
    <row r="588">
      <c r="AE588" s="42"/>
    </row>
    <row r="589">
      <c r="AE589" s="42"/>
    </row>
    <row r="590">
      <c r="AE590" s="42"/>
    </row>
    <row r="591">
      <c r="AE591" s="42"/>
    </row>
    <row r="592">
      <c r="AE592" s="42"/>
    </row>
    <row r="593">
      <c r="AE593" s="42"/>
    </row>
    <row r="594">
      <c r="AE594" s="42"/>
    </row>
    <row r="595">
      <c r="AE595" s="42"/>
    </row>
    <row r="596">
      <c r="AE596" s="42"/>
    </row>
    <row r="597">
      <c r="AE597" s="42"/>
    </row>
    <row r="598">
      <c r="AE598" s="42"/>
    </row>
    <row r="599">
      <c r="AE599" s="42"/>
    </row>
    <row r="600">
      <c r="AE600" s="42"/>
    </row>
    <row r="601">
      <c r="AE601" s="42"/>
    </row>
    <row r="602">
      <c r="AE602" s="42"/>
    </row>
    <row r="603">
      <c r="AE603" s="42"/>
    </row>
    <row r="604">
      <c r="AE604" s="42"/>
    </row>
    <row r="605">
      <c r="AE605" s="42"/>
    </row>
    <row r="606">
      <c r="AE606" s="42"/>
    </row>
    <row r="607">
      <c r="AE607" s="42"/>
    </row>
    <row r="608">
      <c r="AE608" s="42"/>
    </row>
    <row r="609">
      <c r="AE609" s="42"/>
    </row>
    <row r="610">
      <c r="AE610" s="42"/>
    </row>
    <row r="611">
      <c r="AE611" s="42"/>
    </row>
    <row r="612">
      <c r="AE612" s="42"/>
    </row>
    <row r="613">
      <c r="AE613" s="42"/>
    </row>
    <row r="614">
      <c r="AE614" s="42"/>
    </row>
    <row r="615">
      <c r="AE615" s="42"/>
    </row>
    <row r="616">
      <c r="AE616" s="42"/>
    </row>
    <row r="617">
      <c r="AE617" s="42"/>
    </row>
    <row r="618">
      <c r="AE618" s="42"/>
    </row>
    <row r="619">
      <c r="AE619" s="42"/>
    </row>
    <row r="620">
      <c r="AE620" s="42"/>
    </row>
    <row r="621">
      <c r="AE621" s="42"/>
    </row>
    <row r="622">
      <c r="AE622" s="42"/>
    </row>
    <row r="623">
      <c r="AE623" s="42"/>
    </row>
    <row r="624">
      <c r="AE624" s="42"/>
    </row>
    <row r="625">
      <c r="AE625" s="42"/>
    </row>
    <row r="626">
      <c r="AE626" s="42"/>
    </row>
    <row r="627">
      <c r="AE627" s="42"/>
    </row>
    <row r="628">
      <c r="AE628" s="42"/>
    </row>
    <row r="629">
      <c r="AE629" s="42"/>
    </row>
    <row r="630">
      <c r="AE630" s="42"/>
    </row>
    <row r="631">
      <c r="AE631" s="42"/>
    </row>
    <row r="632">
      <c r="AE632" s="42"/>
    </row>
    <row r="633">
      <c r="AE633" s="42"/>
    </row>
    <row r="634">
      <c r="AE634" s="42"/>
    </row>
    <row r="635">
      <c r="AE635" s="42"/>
    </row>
    <row r="636">
      <c r="AE636" s="42"/>
    </row>
    <row r="637">
      <c r="AE637" s="42"/>
    </row>
    <row r="638">
      <c r="AE638" s="42"/>
    </row>
    <row r="639">
      <c r="AE639" s="42"/>
    </row>
    <row r="640">
      <c r="AE640" s="42"/>
    </row>
    <row r="641">
      <c r="AE641" s="42"/>
    </row>
    <row r="642">
      <c r="AE642" s="42"/>
    </row>
    <row r="643">
      <c r="AE643" s="42"/>
    </row>
    <row r="644">
      <c r="AE644" s="42"/>
    </row>
    <row r="645">
      <c r="AE645" s="42"/>
    </row>
    <row r="646">
      <c r="AE646" s="42"/>
    </row>
    <row r="647">
      <c r="AE647" s="42"/>
    </row>
    <row r="648">
      <c r="AE648" s="42"/>
    </row>
    <row r="649">
      <c r="AE649" s="42"/>
    </row>
    <row r="650">
      <c r="AE650" s="42"/>
    </row>
    <row r="651">
      <c r="AE651" s="42"/>
    </row>
    <row r="652">
      <c r="AE652" s="42"/>
    </row>
    <row r="653">
      <c r="AE653" s="42"/>
    </row>
    <row r="654">
      <c r="AE654" s="42"/>
    </row>
    <row r="655">
      <c r="AE655" s="42"/>
    </row>
    <row r="656">
      <c r="AE656" s="42"/>
    </row>
    <row r="657">
      <c r="AE657" s="42"/>
    </row>
    <row r="658">
      <c r="AE658" s="42"/>
    </row>
    <row r="659">
      <c r="AE659" s="42"/>
    </row>
    <row r="660">
      <c r="AE660" s="42"/>
    </row>
    <row r="661">
      <c r="AE661" s="42"/>
    </row>
    <row r="662">
      <c r="AE662" s="42"/>
    </row>
    <row r="663">
      <c r="AE663" s="42"/>
    </row>
    <row r="664">
      <c r="AE664" s="42"/>
    </row>
    <row r="665">
      <c r="AE665" s="42"/>
    </row>
    <row r="666">
      <c r="AE666" s="42"/>
    </row>
    <row r="667">
      <c r="AE667" s="42"/>
    </row>
    <row r="668">
      <c r="AE668" s="42"/>
    </row>
    <row r="669">
      <c r="AE669" s="42"/>
    </row>
    <row r="670">
      <c r="AE670" s="42"/>
    </row>
    <row r="671">
      <c r="AE671" s="42"/>
    </row>
    <row r="672">
      <c r="AE672" s="42"/>
    </row>
    <row r="673">
      <c r="AE673" s="42"/>
    </row>
    <row r="674">
      <c r="AE674" s="42"/>
    </row>
    <row r="675">
      <c r="AE675" s="42"/>
    </row>
    <row r="676">
      <c r="AE676" s="42"/>
    </row>
    <row r="677">
      <c r="AE677" s="42"/>
    </row>
    <row r="678">
      <c r="AE678" s="42"/>
    </row>
    <row r="679">
      <c r="AE679" s="42"/>
    </row>
    <row r="680">
      <c r="AE680" s="42"/>
    </row>
    <row r="681">
      <c r="AE681" s="42"/>
    </row>
    <row r="682">
      <c r="AE682" s="42"/>
    </row>
    <row r="683">
      <c r="AE683" s="42"/>
    </row>
    <row r="684">
      <c r="AE684" s="42"/>
    </row>
    <row r="685">
      <c r="AE685" s="42"/>
    </row>
    <row r="686">
      <c r="AE686" s="42"/>
    </row>
    <row r="687">
      <c r="AE687" s="42"/>
    </row>
    <row r="688">
      <c r="AE688" s="42"/>
    </row>
    <row r="689">
      <c r="AE689" s="42"/>
    </row>
    <row r="690">
      <c r="AE690" s="42"/>
    </row>
    <row r="691">
      <c r="AE691" s="42"/>
    </row>
    <row r="692">
      <c r="AE692" s="42"/>
    </row>
    <row r="693">
      <c r="AE693" s="42"/>
    </row>
    <row r="694">
      <c r="AE694" s="42"/>
    </row>
    <row r="695">
      <c r="AE695" s="42"/>
    </row>
    <row r="696">
      <c r="AE696" s="42"/>
    </row>
    <row r="697">
      <c r="AE697" s="42"/>
    </row>
    <row r="698">
      <c r="AE698" s="42"/>
    </row>
    <row r="699">
      <c r="AE699" s="42"/>
    </row>
    <row r="700">
      <c r="AE700" s="42"/>
    </row>
    <row r="701">
      <c r="AE701" s="42"/>
    </row>
    <row r="702">
      <c r="AE702" s="42"/>
    </row>
    <row r="703">
      <c r="AE703" s="42"/>
    </row>
    <row r="704">
      <c r="AE704" s="42"/>
    </row>
    <row r="705">
      <c r="AE705" s="42"/>
    </row>
    <row r="706">
      <c r="AE706" s="42"/>
    </row>
    <row r="707">
      <c r="AE707" s="42"/>
    </row>
    <row r="708">
      <c r="AE708" s="42"/>
    </row>
    <row r="709">
      <c r="AE709" s="42"/>
    </row>
    <row r="710">
      <c r="AE710" s="42"/>
    </row>
    <row r="711">
      <c r="AE711" s="42"/>
    </row>
    <row r="712">
      <c r="AE712" s="42"/>
    </row>
    <row r="713">
      <c r="AE713" s="42"/>
    </row>
    <row r="714">
      <c r="AE714" s="42"/>
    </row>
    <row r="715">
      <c r="AE715" s="42"/>
    </row>
    <row r="716">
      <c r="AE716" s="42"/>
    </row>
    <row r="717">
      <c r="AE717" s="42"/>
    </row>
    <row r="718">
      <c r="AE718" s="42"/>
    </row>
    <row r="719">
      <c r="AE719" s="42"/>
    </row>
    <row r="720">
      <c r="AE720" s="42"/>
    </row>
    <row r="721">
      <c r="AE721" s="42"/>
    </row>
    <row r="722">
      <c r="AE722" s="42"/>
    </row>
    <row r="723">
      <c r="AE723" s="42"/>
    </row>
    <row r="724">
      <c r="AE724" s="42"/>
    </row>
    <row r="725">
      <c r="AE725" s="42"/>
    </row>
    <row r="726">
      <c r="AE726" s="42"/>
    </row>
    <row r="727">
      <c r="AE727" s="42"/>
    </row>
    <row r="728">
      <c r="AE728" s="42"/>
    </row>
    <row r="729">
      <c r="AE729" s="42"/>
    </row>
    <row r="730">
      <c r="AE730" s="42"/>
    </row>
    <row r="731">
      <c r="AE731" s="42"/>
    </row>
    <row r="732">
      <c r="AE732" s="42"/>
    </row>
    <row r="733">
      <c r="AE733" s="42"/>
    </row>
    <row r="734">
      <c r="AE734" s="42"/>
    </row>
    <row r="735">
      <c r="AE735" s="42"/>
    </row>
    <row r="736">
      <c r="AE736" s="42"/>
    </row>
    <row r="737">
      <c r="AE737" s="42"/>
    </row>
    <row r="738">
      <c r="AE738" s="42"/>
    </row>
    <row r="739">
      <c r="AE739" s="42"/>
    </row>
    <row r="740">
      <c r="AE740" s="42"/>
    </row>
    <row r="741">
      <c r="AE741" s="42"/>
    </row>
    <row r="742">
      <c r="AE742" s="42"/>
    </row>
    <row r="743">
      <c r="AE743" s="42"/>
    </row>
    <row r="744">
      <c r="AE744" s="42"/>
    </row>
    <row r="745">
      <c r="AE745" s="42"/>
    </row>
    <row r="746">
      <c r="AE746" s="42"/>
    </row>
    <row r="747">
      <c r="AE747" s="42"/>
    </row>
    <row r="748">
      <c r="AE748" s="42"/>
    </row>
    <row r="749">
      <c r="AE749" s="42"/>
    </row>
    <row r="750">
      <c r="AE750" s="42"/>
    </row>
    <row r="751">
      <c r="AE751" s="42"/>
    </row>
    <row r="752">
      <c r="AE752" s="42"/>
    </row>
    <row r="753">
      <c r="AE753" s="42"/>
    </row>
    <row r="754">
      <c r="AE754" s="42"/>
    </row>
    <row r="755">
      <c r="AE755" s="42"/>
    </row>
    <row r="756">
      <c r="AE756" s="42"/>
    </row>
    <row r="757">
      <c r="AE757" s="42"/>
    </row>
    <row r="758">
      <c r="AE758" s="42"/>
    </row>
    <row r="759">
      <c r="AE759" s="42"/>
    </row>
    <row r="760">
      <c r="AE760" s="42"/>
    </row>
    <row r="761">
      <c r="AE761" s="42"/>
    </row>
    <row r="762">
      <c r="AE762" s="42"/>
    </row>
    <row r="763">
      <c r="AE763" s="42"/>
    </row>
    <row r="764">
      <c r="AE764" s="42"/>
    </row>
    <row r="765">
      <c r="AE765" s="42"/>
    </row>
    <row r="766">
      <c r="AE766" s="42"/>
    </row>
    <row r="767">
      <c r="AE767" s="42"/>
    </row>
    <row r="768">
      <c r="AE768" s="42"/>
    </row>
    <row r="769">
      <c r="AE769" s="42"/>
    </row>
    <row r="770">
      <c r="AE770" s="42"/>
    </row>
    <row r="771">
      <c r="AE771" s="42"/>
    </row>
    <row r="772">
      <c r="AE772" s="42"/>
    </row>
    <row r="773">
      <c r="AE773" s="42"/>
    </row>
    <row r="774">
      <c r="AE774" s="42"/>
    </row>
    <row r="775">
      <c r="AE775" s="42"/>
    </row>
    <row r="776">
      <c r="AE776" s="42"/>
    </row>
    <row r="777">
      <c r="AE777" s="42"/>
    </row>
    <row r="778">
      <c r="AE778" s="42"/>
    </row>
    <row r="779">
      <c r="AE779" s="42"/>
    </row>
    <row r="780">
      <c r="AE780" s="42"/>
    </row>
    <row r="781">
      <c r="AE781" s="42"/>
    </row>
    <row r="782">
      <c r="AE782" s="42"/>
    </row>
    <row r="783">
      <c r="AE783" s="42"/>
    </row>
    <row r="784">
      <c r="AE784" s="42"/>
    </row>
    <row r="785">
      <c r="AE785" s="42"/>
    </row>
    <row r="786">
      <c r="AE786" s="42"/>
    </row>
    <row r="787">
      <c r="AE787" s="42"/>
    </row>
    <row r="788">
      <c r="AE788" s="42"/>
    </row>
    <row r="789">
      <c r="AE789" s="42"/>
    </row>
    <row r="790">
      <c r="AE790" s="42"/>
    </row>
    <row r="791">
      <c r="AE791" s="42"/>
    </row>
    <row r="792">
      <c r="AE792" s="42"/>
    </row>
    <row r="793">
      <c r="AE793" s="42"/>
    </row>
    <row r="794">
      <c r="AE794" s="42"/>
    </row>
    <row r="795">
      <c r="AE795" s="42"/>
    </row>
    <row r="796">
      <c r="AE796" s="42"/>
    </row>
    <row r="797">
      <c r="AE797" s="42"/>
    </row>
    <row r="798">
      <c r="AE798" s="42"/>
    </row>
    <row r="799">
      <c r="AE799" s="42"/>
    </row>
    <row r="800">
      <c r="AE800" s="42"/>
    </row>
    <row r="801">
      <c r="AE801" s="42"/>
    </row>
    <row r="802">
      <c r="AE802" s="42"/>
    </row>
    <row r="803">
      <c r="AE803" s="42"/>
    </row>
    <row r="804">
      <c r="AE804" s="42"/>
    </row>
    <row r="805">
      <c r="AE805" s="42"/>
    </row>
    <row r="806">
      <c r="AE806" s="42"/>
    </row>
    <row r="807">
      <c r="AE807" s="42"/>
    </row>
    <row r="808">
      <c r="AE808" s="42"/>
    </row>
    <row r="809">
      <c r="AE809" s="42"/>
    </row>
    <row r="810">
      <c r="AE810" s="42"/>
    </row>
    <row r="811">
      <c r="AE811" s="42"/>
    </row>
    <row r="812">
      <c r="AE812" s="42"/>
    </row>
    <row r="813">
      <c r="AE813" s="42"/>
    </row>
    <row r="814">
      <c r="AE814" s="42"/>
    </row>
    <row r="815">
      <c r="AE815" s="42"/>
    </row>
    <row r="816">
      <c r="AE816" s="42"/>
    </row>
    <row r="817">
      <c r="AE817" s="42"/>
    </row>
    <row r="818">
      <c r="AE818" s="42"/>
    </row>
    <row r="819">
      <c r="AE819" s="42"/>
    </row>
    <row r="820">
      <c r="AE820" s="42"/>
    </row>
    <row r="821">
      <c r="AE821" s="42"/>
    </row>
    <row r="822">
      <c r="AE822" s="42"/>
    </row>
    <row r="823">
      <c r="AE823" s="42"/>
    </row>
    <row r="824">
      <c r="AE824" s="42"/>
    </row>
    <row r="825">
      <c r="AE825" s="42"/>
    </row>
    <row r="826">
      <c r="AE826" s="42"/>
    </row>
    <row r="827">
      <c r="AE827" s="42"/>
    </row>
    <row r="828">
      <c r="AE828" s="42"/>
    </row>
    <row r="829">
      <c r="AE829" s="42"/>
    </row>
    <row r="830">
      <c r="AE830" s="42"/>
    </row>
    <row r="831">
      <c r="AE831" s="42"/>
    </row>
    <row r="832">
      <c r="AE832" s="42"/>
    </row>
    <row r="833">
      <c r="AE833" s="42"/>
    </row>
    <row r="834">
      <c r="AE834" s="42"/>
    </row>
    <row r="835">
      <c r="AE835" s="42"/>
    </row>
    <row r="836">
      <c r="AE836" s="42"/>
    </row>
    <row r="837">
      <c r="AE837" s="42"/>
    </row>
    <row r="838">
      <c r="AE838" s="42"/>
    </row>
    <row r="839">
      <c r="AE839" s="42"/>
    </row>
    <row r="840">
      <c r="AE840" s="42"/>
    </row>
    <row r="841">
      <c r="AE841" s="42"/>
    </row>
    <row r="842">
      <c r="AE842" s="42"/>
    </row>
    <row r="843">
      <c r="AE843" s="42"/>
    </row>
    <row r="844">
      <c r="AE844" s="42"/>
    </row>
    <row r="845">
      <c r="AE845" s="42"/>
    </row>
    <row r="846">
      <c r="AE846" s="42"/>
    </row>
    <row r="847">
      <c r="AE847" s="42"/>
    </row>
    <row r="848">
      <c r="AE848" s="42"/>
    </row>
    <row r="849">
      <c r="AE849" s="42"/>
    </row>
    <row r="850">
      <c r="AE850" s="42"/>
    </row>
    <row r="851">
      <c r="AE851" s="42"/>
    </row>
    <row r="852">
      <c r="AE852" s="42"/>
    </row>
    <row r="853">
      <c r="AE853" s="42"/>
    </row>
    <row r="854">
      <c r="AE854" s="42"/>
    </row>
    <row r="855">
      <c r="AE855" s="42"/>
    </row>
    <row r="856">
      <c r="AE856" s="42"/>
    </row>
    <row r="857">
      <c r="AE857" s="42"/>
    </row>
    <row r="858">
      <c r="AE858" s="42"/>
    </row>
    <row r="859">
      <c r="AE859" s="42"/>
    </row>
    <row r="860">
      <c r="AE860" s="42"/>
    </row>
    <row r="861">
      <c r="AE861" s="42"/>
    </row>
    <row r="862">
      <c r="AE862" s="42"/>
    </row>
    <row r="863">
      <c r="AE863" s="42"/>
    </row>
    <row r="864">
      <c r="AE864" s="42"/>
    </row>
    <row r="865">
      <c r="AE865" s="42"/>
    </row>
    <row r="866">
      <c r="AE866" s="42"/>
    </row>
    <row r="867">
      <c r="AE867" s="42"/>
    </row>
    <row r="868">
      <c r="AE868" s="42"/>
    </row>
    <row r="869">
      <c r="AE869" s="42"/>
    </row>
    <row r="870">
      <c r="AE870" s="42"/>
    </row>
    <row r="871">
      <c r="AE871" s="42"/>
    </row>
    <row r="872">
      <c r="AE872" s="42"/>
    </row>
    <row r="873">
      <c r="AE873" s="42"/>
    </row>
    <row r="874">
      <c r="AE874" s="42"/>
    </row>
    <row r="875">
      <c r="AE875" s="42"/>
    </row>
    <row r="876">
      <c r="AE876" s="42"/>
    </row>
    <row r="877">
      <c r="AE877" s="42"/>
    </row>
    <row r="878">
      <c r="AE878" s="42"/>
    </row>
    <row r="879">
      <c r="AE879" s="42"/>
    </row>
    <row r="880">
      <c r="AE880" s="42"/>
    </row>
    <row r="881">
      <c r="AE881" s="42"/>
    </row>
    <row r="882">
      <c r="AE882" s="42"/>
    </row>
    <row r="883">
      <c r="AE883" s="42"/>
    </row>
    <row r="884">
      <c r="AE884" s="42"/>
    </row>
    <row r="885">
      <c r="AE885" s="42"/>
    </row>
    <row r="886">
      <c r="AE886" s="42"/>
    </row>
    <row r="887">
      <c r="AE887" s="42"/>
    </row>
    <row r="888">
      <c r="AE888" s="42"/>
    </row>
    <row r="889">
      <c r="AE889" s="42"/>
    </row>
    <row r="890">
      <c r="AE890" s="42"/>
    </row>
    <row r="891">
      <c r="AE891" s="42"/>
    </row>
    <row r="892">
      <c r="AE892" s="42"/>
    </row>
    <row r="893">
      <c r="AE893" s="42"/>
    </row>
    <row r="894">
      <c r="AE894" s="42"/>
    </row>
    <row r="895">
      <c r="AE895" s="42"/>
    </row>
    <row r="896">
      <c r="AE896" s="42"/>
    </row>
    <row r="897">
      <c r="AE897" s="42"/>
    </row>
    <row r="898">
      <c r="AE898" s="42"/>
    </row>
    <row r="899">
      <c r="AE899" s="42"/>
    </row>
    <row r="900">
      <c r="AE900" s="42"/>
    </row>
    <row r="901">
      <c r="AE901" s="42"/>
    </row>
    <row r="902">
      <c r="AE902" s="42"/>
    </row>
    <row r="903">
      <c r="AE903" s="42"/>
    </row>
    <row r="904">
      <c r="AE904" s="42"/>
    </row>
    <row r="905">
      <c r="AE905" s="42"/>
    </row>
    <row r="906">
      <c r="AE906" s="42"/>
    </row>
    <row r="907">
      <c r="AE907" s="42"/>
    </row>
    <row r="908">
      <c r="AE908" s="42"/>
    </row>
    <row r="909">
      <c r="AE909" s="42"/>
    </row>
    <row r="910">
      <c r="AE910" s="42"/>
    </row>
    <row r="911">
      <c r="AE911" s="42"/>
    </row>
    <row r="912">
      <c r="AE912" s="42"/>
    </row>
    <row r="913">
      <c r="AE913" s="42"/>
    </row>
    <row r="914">
      <c r="AE914" s="42"/>
    </row>
    <row r="915">
      <c r="AE915" s="42"/>
    </row>
    <row r="916">
      <c r="AE916" s="42"/>
    </row>
    <row r="917">
      <c r="AE917" s="42"/>
    </row>
    <row r="918">
      <c r="AE918" s="42"/>
    </row>
    <row r="919">
      <c r="AE919" s="42"/>
    </row>
    <row r="920">
      <c r="AE920" s="42"/>
    </row>
    <row r="921">
      <c r="AE921" s="42"/>
    </row>
    <row r="922">
      <c r="AE922" s="42"/>
    </row>
    <row r="923">
      <c r="AE923" s="42"/>
    </row>
    <row r="924">
      <c r="AE924" s="42"/>
    </row>
    <row r="925">
      <c r="AE925" s="42"/>
    </row>
    <row r="926">
      <c r="AE926" s="42"/>
    </row>
    <row r="927">
      <c r="AE927" s="42"/>
    </row>
    <row r="928">
      <c r="AE928" s="42"/>
    </row>
    <row r="929">
      <c r="AE929" s="42"/>
    </row>
    <row r="930">
      <c r="AE930" s="42"/>
    </row>
    <row r="931">
      <c r="AE931" s="42"/>
    </row>
    <row r="932">
      <c r="AE932" s="42"/>
    </row>
    <row r="933">
      <c r="AE933" s="42"/>
    </row>
    <row r="934">
      <c r="AE934" s="42"/>
    </row>
    <row r="935">
      <c r="AE935" s="42"/>
    </row>
    <row r="936">
      <c r="AE936" s="42"/>
    </row>
    <row r="937">
      <c r="AE937" s="42"/>
    </row>
    <row r="938">
      <c r="AE938" s="42"/>
    </row>
    <row r="939">
      <c r="AE939" s="42"/>
    </row>
    <row r="940">
      <c r="AE940" s="42"/>
    </row>
    <row r="941">
      <c r="AE941" s="42"/>
    </row>
    <row r="942">
      <c r="AE942" s="42"/>
    </row>
    <row r="943">
      <c r="AE943" s="42"/>
    </row>
    <row r="944">
      <c r="AE944" s="42"/>
    </row>
    <row r="945">
      <c r="AE945" s="42"/>
    </row>
    <row r="946">
      <c r="AE946" s="42"/>
    </row>
    <row r="947">
      <c r="AE947" s="42"/>
    </row>
    <row r="948">
      <c r="AE948" s="42"/>
    </row>
    <row r="949">
      <c r="AE949" s="42"/>
    </row>
    <row r="950">
      <c r="AE950" s="42"/>
    </row>
    <row r="951">
      <c r="AE951" s="42"/>
    </row>
    <row r="952">
      <c r="AE952" s="42"/>
    </row>
    <row r="953">
      <c r="AE953" s="42"/>
    </row>
    <row r="954">
      <c r="AE954" s="42"/>
    </row>
    <row r="955">
      <c r="AE955" s="42"/>
    </row>
    <row r="956">
      <c r="AE956" s="42"/>
    </row>
    <row r="957">
      <c r="AE957" s="42"/>
    </row>
    <row r="958">
      <c r="AE958" s="42"/>
    </row>
    <row r="959">
      <c r="AE959" s="42"/>
    </row>
    <row r="960">
      <c r="AE960" s="42"/>
    </row>
    <row r="961">
      <c r="AE961" s="42"/>
    </row>
    <row r="962">
      <c r="AE962" s="42"/>
    </row>
    <row r="963">
      <c r="AE963" s="42"/>
    </row>
    <row r="964">
      <c r="AE964" s="42"/>
    </row>
    <row r="965">
      <c r="AE965" s="42"/>
    </row>
    <row r="966">
      <c r="AE966" s="42"/>
    </row>
    <row r="967">
      <c r="AE967" s="42"/>
    </row>
    <row r="968">
      <c r="AE968" s="42"/>
    </row>
    <row r="969">
      <c r="AE969" s="42"/>
    </row>
    <row r="970">
      <c r="AE970" s="42"/>
    </row>
    <row r="971">
      <c r="AE971" s="42"/>
    </row>
    <row r="972">
      <c r="AE972" s="42"/>
    </row>
    <row r="973">
      <c r="AE973" s="42"/>
    </row>
    <row r="974">
      <c r="AE974" s="42"/>
    </row>
    <row r="975">
      <c r="AE975" s="42"/>
    </row>
    <row r="976">
      <c r="AE976" s="42"/>
    </row>
    <row r="977">
      <c r="AE977" s="42"/>
    </row>
    <row r="978">
      <c r="AE978" s="42"/>
    </row>
    <row r="979">
      <c r="AE979" s="42"/>
    </row>
    <row r="980">
      <c r="AE980" s="42"/>
    </row>
    <row r="981">
      <c r="AE981" s="42"/>
    </row>
    <row r="982">
      <c r="AE982" s="42"/>
    </row>
    <row r="983">
      <c r="AE983" s="42"/>
    </row>
    <row r="984">
      <c r="AE984" s="42"/>
    </row>
    <row r="985">
      <c r="AE985" s="42"/>
    </row>
    <row r="986">
      <c r="AE986" s="42"/>
    </row>
    <row r="987">
      <c r="AE987" s="42"/>
    </row>
    <row r="988">
      <c r="AE988" s="42"/>
    </row>
    <row r="989">
      <c r="AE989" s="42"/>
    </row>
    <row r="990">
      <c r="AE990" s="42"/>
    </row>
    <row r="991">
      <c r="AE991" s="42"/>
    </row>
    <row r="992">
      <c r="AE992" s="42"/>
    </row>
    <row r="993">
      <c r="AE993" s="42"/>
    </row>
    <row r="994">
      <c r="AE994" s="42"/>
    </row>
    <row r="995">
      <c r="AE995" s="42"/>
    </row>
    <row r="996">
      <c r="AE996" s="42"/>
    </row>
    <row r="997">
      <c r="AE997" s="42"/>
    </row>
    <row r="998">
      <c r="AE998" s="42"/>
    </row>
    <row r="999">
      <c r="AE999" s="42"/>
    </row>
    <row r="1000">
      <c r="AE1000" s="42"/>
    </row>
  </sheetData>
  <dataValidations>
    <dataValidation type="list" allowBlank="1" showErrorMessage="1" sqref="T2:T3">
      <formula1>"Work Not Started Yet,Measrument Done,Material &amp; Team Reached,Structure Work,Panel,Inverter pending,Project On Hold,I&amp;C Completed"</formula1>
    </dataValidation>
    <dataValidation type="list" allowBlank="1" showErrorMessage="1" sqref="Q2:Q3">
      <formula1>"Doc Recieved,File login,COMPLET"</formula1>
    </dataValidation>
    <dataValidation type="list" allowBlank="1" showErrorMessage="1" sqref="S2:S3">
      <formula1>"Loan apply,File prepare,File into bank,Loan approved,Loan Rejected,CASH FILE"</formula1>
    </dataValidation>
    <dataValidation type="list" allowBlank="1" showErrorMessage="1" sqref="U2:U3">
      <formula1>"Pending,Meter &amp; File submit DISCOM,Net Metering,Subsidy apply with site photo,Subsidy granted"</formula1>
    </dataValidation>
    <dataValidation type="list" allowBlank="1" showErrorMessage="1" sqref="V2:V3">
      <formula1>"Cash To Mahi,1st Installment Received,2ns Installment Received,Payment Not Received Yet,Payment Due"</formula1>
    </dataValidation>
    <dataValidation type="list" allowBlank="1" showErrorMessage="1" sqref="R2:R3">
      <formula1>"Center (78K),Both (78 + 17),WITH OUT SUBSIDY"</formula1>
    </dataValidation>
  </dataValidations>
  <hyperlinks>
    <hyperlink r:id="rId1" ref="H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11.25"/>
    <col customWidth="1" min="3" max="3" width="19.75"/>
    <col customWidth="1" min="4" max="4" width="4.63"/>
    <col customWidth="1" min="5" max="5" width="4.25"/>
    <col customWidth="1" min="6" max="6" width="8.75"/>
    <col customWidth="1" min="7" max="7" width="8.13"/>
    <col customWidth="1" min="8" max="8" width="12.0"/>
    <col customWidth="1" min="9" max="9" width="10.25"/>
    <col customWidth="1" min="10" max="10" width="28.0"/>
    <col customWidth="1" min="11" max="11" width="20.88"/>
    <col customWidth="1" min="12" max="12" width="16.0"/>
    <col customWidth="1" min="13" max="13" width="18.25"/>
    <col customWidth="1" min="14" max="14" width="12.0"/>
    <col customWidth="1" min="15" max="15" width="6.5"/>
    <col customWidth="1" min="16" max="16" width="5.63"/>
    <col customWidth="1" min="17" max="17" width="12.63"/>
    <col customWidth="1" min="18" max="18" width="15.38"/>
    <col customWidth="1" min="19" max="19" width="16.0"/>
    <col customWidth="1" min="20" max="20" width="21.5"/>
    <col customWidth="1" min="21" max="21" width="13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18.0"/>
    <col customWidth="1" min="27" max="27" width="17.5"/>
    <col customWidth="1" min="28" max="28" width="8.5"/>
    <col customWidth="1" min="29" max="29" width="14.38"/>
    <col customWidth="1" min="30" max="30" width="15.13"/>
    <col customWidth="1" min="31" max="31" width="21.5"/>
    <col customWidth="1" min="32" max="32" width="8.38"/>
  </cols>
  <sheetData>
    <row r="1" ht="15.75" customHeight="1">
      <c r="A1" s="2" t="s">
        <v>0</v>
      </c>
      <c r="B1" s="4" t="s">
        <v>3</v>
      </c>
      <c r="C1" s="4" t="s">
        <v>4</v>
      </c>
      <c r="D1" s="4" t="s">
        <v>5</v>
      </c>
      <c r="E1" s="3" t="s">
        <v>6</v>
      </c>
      <c r="F1" s="4" t="s">
        <v>8</v>
      </c>
      <c r="G1" s="4" t="s">
        <v>10</v>
      </c>
      <c r="H1" s="5" t="s">
        <v>11</v>
      </c>
      <c r="I1" s="4" t="s">
        <v>12</v>
      </c>
      <c r="J1" s="4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4" t="s">
        <v>18</v>
      </c>
      <c r="P1" s="3" t="s">
        <v>19</v>
      </c>
      <c r="Q1" s="6" t="s">
        <v>20</v>
      </c>
      <c r="R1" s="7" t="s">
        <v>21</v>
      </c>
      <c r="S1" s="7" t="s">
        <v>22</v>
      </c>
      <c r="T1" s="7" t="s">
        <v>24</v>
      </c>
      <c r="U1" s="6" t="s">
        <v>25</v>
      </c>
      <c r="V1" s="7" t="s">
        <v>27</v>
      </c>
      <c r="W1" s="8" t="s">
        <v>29</v>
      </c>
      <c r="X1" s="8" t="s">
        <v>30</v>
      </c>
      <c r="Y1" s="9" t="s">
        <v>31</v>
      </c>
      <c r="Z1" s="9" t="s">
        <v>32</v>
      </c>
      <c r="AA1" s="9" t="s">
        <v>33</v>
      </c>
      <c r="AB1" s="9" t="s">
        <v>34</v>
      </c>
      <c r="AC1" s="11" t="s">
        <v>35</v>
      </c>
      <c r="AD1" s="9" t="s">
        <v>36</v>
      </c>
      <c r="AE1" s="9" t="s">
        <v>37</v>
      </c>
      <c r="AF1" s="1" t="s">
        <v>38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>
      <c r="A2" s="51">
        <v>1.0</v>
      </c>
      <c r="B2" s="51" t="s">
        <v>41</v>
      </c>
      <c r="C2" s="51" t="s">
        <v>849</v>
      </c>
      <c r="D2" s="51" t="s">
        <v>104</v>
      </c>
      <c r="E2" s="51" t="s">
        <v>44</v>
      </c>
      <c r="F2" s="51" t="s">
        <v>850</v>
      </c>
      <c r="G2" s="51" t="s">
        <v>164</v>
      </c>
      <c r="H2" s="51">
        <v>2.11544036585E11</v>
      </c>
      <c r="I2" s="51">
        <v>9.460871476E9</v>
      </c>
      <c r="J2" s="51" t="s">
        <v>852</v>
      </c>
      <c r="K2" s="51" t="s">
        <v>855</v>
      </c>
      <c r="L2" s="51">
        <v>225000.0</v>
      </c>
      <c r="N2" s="51"/>
      <c r="O2" s="51">
        <v>200000.0</v>
      </c>
      <c r="P2" s="51">
        <f>M2-O2</f>
        <v>-200000</v>
      </c>
      <c r="Q2" s="61" t="s">
        <v>28</v>
      </c>
      <c r="R2" s="61" t="s">
        <v>69</v>
      </c>
      <c r="S2" s="53" t="s">
        <v>73</v>
      </c>
      <c r="T2" s="51" t="s">
        <v>194</v>
      </c>
      <c r="U2" s="16" t="s">
        <v>70</v>
      </c>
      <c r="V2" s="54" t="s">
        <v>72</v>
      </c>
      <c r="AA2" s="69">
        <f>P2-Y2-Z2</f>
        <v>-200000</v>
      </c>
      <c r="AB2" s="69">
        <f>O2-W2-X2</f>
        <v>200000</v>
      </c>
      <c r="AC2" s="69">
        <f>AD2-AB2</f>
        <v>-200000</v>
      </c>
      <c r="AD2" s="69">
        <f>N2-(W2+X2+Y2)</f>
        <v>0</v>
      </c>
      <c r="AE2" s="69">
        <f>W2+X2+Y2+Z2</f>
        <v>0</v>
      </c>
    </row>
    <row r="3">
      <c r="Q3" s="53"/>
      <c r="R3" s="61"/>
      <c r="S3" s="61"/>
      <c r="T3" s="51" t="s">
        <v>194</v>
      </c>
      <c r="U3" s="16"/>
      <c r="V3" s="16"/>
    </row>
    <row r="4">
      <c r="Q4" s="53"/>
      <c r="R4" s="61"/>
      <c r="S4" s="61"/>
      <c r="T4" s="51" t="s">
        <v>194</v>
      </c>
      <c r="U4" s="16"/>
      <c r="V4" s="16"/>
    </row>
    <row r="5">
      <c r="Q5" s="53"/>
      <c r="R5" s="61"/>
      <c r="S5" s="53"/>
      <c r="T5" s="51" t="s">
        <v>194</v>
      </c>
      <c r="U5" s="16"/>
      <c r="V5" s="16"/>
    </row>
  </sheetData>
  <dataValidations>
    <dataValidation type="list" allowBlank="1" showErrorMessage="1" sqref="T2:T5">
      <formula1>"Work Not Started Yet,Measrument Done,Material &amp; Team Reached,Structure Work,Panel,Inverter pending,Project On Hold,I&amp;C Completed"</formula1>
    </dataValidation>
    <dataValidation type="list" allowBlank="1" showErrorMessage="1" sqref="Q2">
      <formula1>"Doc Recieved,File login,COMPLET"</formula1>
    </dataValidation>
    <dataValidation type="list" allowBlank="1" showErrorMessage="1" sqref="S2">
      <formula1>"Loan apply,File prepare,File into bank,Loan approved,Loan Rejected,CASH FILE"</formula1>
    </dataValidation>
    <dataValidation type="list" allowBlank="1" showErrorMessage="1" sqref="U2">
      <formula1>"Pending,Meter &amp; File submit DISCOM,Net Metering,Subsidy apply with site photo,Subsidy granted"</formula1>
    </dataValidation>
    <dataValidation type="list" allowBlank="1" showErrorMessage="1" sqref="V2">
      <formula1>"Cash To Mahi,1st Installment Received,2ns Installment Received,Payment Not Received Yet,Payment Due"</formula1>
    </dataValidation>
    <dataValidation type="list" allowBlank="1" showErrorMessage="1" sqref="R2">
      <formula1>"Center (78K),Both (78 + 17),WITH OUT SUBSIDY"</formula1>
    </dataValidation>
  </dataValidations>
  <hyperlinks>
    <hyperlink r:id="rId1" ref="H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88"/>
    <col customWidth="1" min="3" max="3" width="18.25"/>
    <col customWidth="1" min="4" max="4" width="4.63"/>
    <col customWidth="1" min="5" max="5" width="12.25"/>
    <col customWidth="1" min="6" max="6" width="12.63"/>
    <col customWidth="1" min="7" max="7" width="12.13"/>
    <col customWidth="1" min="8" max="8" width="13.0"/>
    <col customWidth="1" min="9" max="9" width="30.88"/>
    <col customWidth="1" min="10" max="10" width="16.0"/>
    <col customWidth="1" min="11" max="11" width="9.75"/>
    <col customWidth="1" min="12" max="12" width="5.25"/>
    <col customWidth="1" min="13" max="13" width="9.38"/>
    <col customWidth="1" min="14" max="14" width="16.0"/>
    <col customWidth="1" min="15" max="15" width="16.5"/>
    <col customWidth="1" min="16" max="16" width="15.13"/>
    <col customWidth="1" min="17" max="17" width="21.5"/>
    <col customWidth="1" min="18" max="18" width="13.38"/>
    <col customWidth="1" min="19" max="19" width="25.75"/>
    <col customWidth="1" min="20" max="20" width="14.38"/>
    <col customWidth="1" min="21" max="21" width="15.88"/>
    <col customWidth="1" min="22" max="22" width="16.13"/>
    <col customWidth="1" min="23" max="23" width="6.25"/>
  </cols>
  <sheetData>
    <row r="1">
      <c r="A1" s="4" t="s">
        <v>826</v>
      </c>
      <c r="B1" s="4" t="s">
        <v>3</v>
      </c>
      <c r="C1" s="4" t="s">
        <v>827</v>
      </c>
      <c r="D1" s="4" t="s">
        <v>5</v>
      </c>
      <c r="E1" s="4" t="s">
        <v>8</v>
      </c>
      <c r="F1" s="4" t="s">
        <v>10</v>
      </c>
      <c r="G1" s="5" t="s">
        <v>11</v>
      </c>
      <c r="H1" s="4" t="s">
        <v>12</v>
      </c>
      <c r="I1" s="4" t="s">
        <v>13</v>
      </c>
      <c r="J1" s="3" t="s">
        <v>829</v>
      </c>
      <c r="K1" s="4" t="s">
        <v>830</v>
      </c>
      <c r="L1" s="4" t="s">
        <v>18</v>
      </c>
      <c r="M1" s="135" t="s">
        <v>8</v>
      </c>
      <c r="N1" s="7" t="s">
        <v>28</v>
      </c>
      <c r="O1" s="7" t="s">
        <v>21</v>
      </c>
      <c r="P1" s="7" t="s">
        <v>22</v>
      </c>
      <c r="Q1" s="7" t="s">
        <v>24</v>
      </c>
      <c r="R1" s="7" t="s">
        <v>25</v>
      </c>
      <c r="S1" s="7" t="s">
        <v>27</v>
      </c>
      <c r="T1" s="135" t="s">
        <v>831</v>
      </c>
      <c r="U1" s="135" t="s">
        <v>29</v>
      </c>
      <c r="V1" s="135" t="s">
        <v>832</v>
      </c>
      <c r="W1" s="135" t="s">
        <v>833</v>
      </c>
    </row>
    <row r="2">
      <c r="A2" s="40">
        <v>1.0</v>
      </c>
      <c r="B2" s="16" t="s">
        <v>834</v>
      </c>
      <c r="C2" s="61" t="s">
        <v>835</v>
      </c>
      <c r="D2" s="16" t="s">
        <v>43</v>
      </c>
      <c r="E2" s="16"/>
      <c r="F2" s="16"/>
      <c r="G2" s="79">
        <v>2.10172021468E11</v>
      </c>
      <c r="H2" s="79">
        <v>9.11668799E9</v>
      </c>
      <c r="I2" s="16"/>
      <c r="J2" s="16"/>
      <c r="K2" s="16"/>
      <c r="L2" s="16"/>
      <c r="M2" s="16"/>
      <c r="N2" s="61" t="s">
        <v>66</v>
      </c>
      <c r="O2" s="61" t="s">
        <v>69</v>
      </c>
      <c r="P2" s="61" t="s">
        <v>71</v>
      </c>
      <c r="Q2" s="51" t="s">
        <v>68</v>
      </c>
      <c r="R2" s="16" t="s">
        <v>70</v>
      </c>
      <c r="S2" s="54" t="s">
        <v>72</v>
      </c>
      <c r="T2" s="16"/>
      <c r="U2" s="16"/>
      <c r="V2" s="16"/>
      <c r="W2" s="16"/>
    </row>
    <row r="3">
      <c r="A3" s="40">
        <v>2.0</v>
      </c>
      <c r="B3" s="16" t="s">
        <v>834</v>
      </c>
      <c r="C3" s="61" t="s">
        <v>836</v>
      </c>
      <c r="D3" s="16" t="s">
        <v>43</v>
      </c>
      <c r="E3" s="16" t="s">
        <v>837</v>
      </c>
      <c r="F3" s="16" t="s">
        <v>838</v>
      </c>
      <c r="G3" s="79">
        <v>2.11912010326E11</v>
      </c>
      <c r="H3" s="79">
        <v>9.460734745E9</v>
      </c>
      <c r="I3" s="16"/>
      <c r="J3" s="16"/>
      <c r="K3" s="16"/>
      <c r="L3" s="16"/>
      <c r="M3" s="16"/>
      <c r="N3" s="61" t="s">
        <v>66</v>
      </c>
      <c r="O3" s="61" t="s">
        <v>69</v>
      </c>
      <c r="P3" s="61" t="s">
        <v>71</v>
      </c>
      <c r="Q3" s="51" t="s">
        <v>68</v>
      </c>
      <c r="R3" s="16" t="s">
        <v>70</v>
      </c>
      <c r="S3" s="54" t="s">
        <v>72</v>
      </c>
      <c r="T3" s="16"/>
      <c r="U3" s="16"/>
      <c r="V3" s="16"/>
      <c r="W3" s="16"/>
    </row>
    <row r="4">
      <c r="A4" s="40">
        <v>3.0</v>
      </c>
      <c r="B4" s="16" t="s">
        <v>834</v>
      </c>
      <c r="C4" s="61" t="s">
        <v>839</v>
      </c>
      <c r="D4" s="16" t="s">
        <v>43</v>
      </c>
      <c r="E4" s="16" t="s">
        <v>837</v>
      </c>
      <c r="F4" s="16" t="s">
        <v>838</v>
      </c>
      <c r="G4" s="79">
        <v>2.11912010317E11</v>
      </c>
      <c r="H4" s="79">
        <v>9.460310316E9</v>
      </c>
      <c r="I4" s="16"/>
      <c r="J4" s="16"/>
      <c r="K4" s="16"/>
      <c r="L4" s="16"/>
      <c r="M4" s="16"/>
      <c r="N4" s="61" t="s">
        <v>66</v>
      </c>
      <c r="O4" s="61" t="s">
        <v>65</v>
      </c>
      <c r="P4" s="61" t="s">
        <v>71</v>
      </c>
      <c r="Q4" s="51" t="s">
        <v>68</v>
      </c>
      <c r="R4" s="16" t="s">
        <v>70</v>
      </c>
      <c r="S4" s="54" t="s">
        <v>72</v>
      </c>
      <c r="T4" s="16"/>
      <c r="U4" s="16"/>
      <c r="V4" s="16"/>
      <c r="W4" s="16"/>
    </row>
    <row r="5">
      <c r="A5" s="40">
        <v>4.0</v>
      </c>
      <c r="B5" s="16" t="s">
        <v>834</v>
      </c>
      <c r="C5" s="61" t="s">
        <v>840</v>
      </c>
      <c r="D5" s="16" t="s">
        <v>43</v>
      </c>
      <c r="E5" s="16" t="s">
        <v>837</v>
      </c>
      <c r="F5" s="16" t="s">
        <v>838</v>
      </c>
      <c r="G5" s="79">
        <v>2.11912042922E11</v>
      </c>
      <c r="H5" s="79">
        <v>8.561811748E9</v>
      </c>
      <c r="I5" s="61" t="s">
        <v>842</v>
      </c>
      <c r="J5" s="16"/>
      <c r="K5" s="16"/>
      <c r="L5" s="16"/>
      <c r="M5" s="16"/>
      <c r="N5" s="61" t="s">
        <v>66</v>
      </c>
      <c r="O5" s="61" t="s">
        <v>69</v>
      </c>
      <c r="P5" s="61" t="s">
        <v>71</v>
      </c>
      <c r="Q5" s="51" t="s">
        <v>68</v>
      </c>
      <c r="R5" s="16" t="s">
        <v>70</v>
      </c>
      <c r="S5" s="54" t="s">
        <v>72</v>
      </c>
      <c r="T5" s="16"/>
      <c r="U5" s="16"/>
      <c r="V5" s="16"/>
      <c r="W5" s="16"/>
    </row>
    <row r="6">
      <c r="A6" s="40">
        <v>5.0</v>
      </c>
      <c r="B6" s="23" t="s">
        <v>846</v>
      </c>
      <c r="C6" s="61" t="s">
        <v>847</v>
      </c>
      <c r="D6" s="16" t="s">
        <v>43</v>
      </c>
      <c r="E6" s="16"/>
      <c r="F6" s="16"/>
      <c r="G6" s="16"/>
      <c r="H6" s="79">
        <v>9.413787604E9</v>
      </c>
      <c r="I6" s="136" t="s">
        <v>848</v>
      </c>
      <c r="J6" s="16"/>
      <c r="K6" s="16"/>
      <c r="L6" s="16"/>
      <c r="M6" s="16"/>
      <c r="N6" s="61" t="s">
        <v>66</v>
      </c>
      <c r="O6" s="61" t="s">
        <v>69</v>
      </c>
      <c r="P6" s="61" t="s">
        <v>71</v>
      </c>
      <c r="Q6" s="51" t="s">
        <v>68</v>
      </c>
      <c r="R6" s="16" t="s">
        <v>70</v>
      </c>
      <c r="S6" s="54" t="s">
        <v>72</v>
      </c>
      <c r="T6" s="16"/>
      <c r="U6" s="16"/>
      <c r="V6" s="16"/>
      <c r="W6" s="16"/>
    </row>
    <row r="7">
      <c r="A7" s="40">
        <v>6.0</v>
      </c>
      <c r="B7" s="23" t="s">
        <v>846</v>
      </c>
      <c r="C7" s="61" t="s">
        <v>851</v>
      </c>
      <c r="D7" s="16" t="s">
        <v>43</v>
      </c>
      <c r="E7" s="16" t="s">
        <v>853</v>
      </c>
      <c r="F7" s="16" t="s">
        <v>854</v>
      </c>
      <c r="G7" s="79">
        <v>2.10172034373E11</v>
      </c>
      <c r="H7" s="79">
        <v>9.783218887E9</v>
      </c>
      <c r="I7" s="16"/>
      <c r="J7" s="16"/>
      <c r="K7" s="16"/>
      <c r="L7" s="16"/>
      <c r="M7" s="16"/>
      <c r="N7" s="61" t="s">
        <v>66</v>
      </c>
      <c r="O7" s="61" t="s">
        <v>69</v>
      </c>
      <c r="P7" s="61" t="s">
        <v>71</v>
      </c>
      <c r="Q7" s="51" t="s">
        <v>68</v>
      </c>
      <c r="R7" s="16" t="s">
        <v>70</v>
      </c>
      <c r="S7" s="54" t="s">
        <v>72</v>
      </c>
      <c r="T7" s="16"/>
      <c r="U7" s="16"/>
      <c r="V7" s="16"/>
      <c r="W7" s="16"/>
    </row>
    <row r="8">
      <c r="A8" s="40">
        <v>7.0</v>
      </c>
      <c r="B8" s="16" t="s">
        <v>41</v>
      </c>
      <c r="C8" s="61" t="s">
        <v>856</v>
      </c>
      <c r="D8" s="16" t="s">
        <v>43</v>
      </c>
      <c r="E8" s="16" t="s">
        <v>853</v>
      </c>
      <c r="F8" s="16" t="s">
        <v>857</v>
      </c>
      <c r="G8" s="79">
        <v>2.10132015714E11</v>
      </c>
      <c r="H8" s="79">
        <v>9.982003851E9</v>
      </c>
      <c r="I8" s="136" t="s">
        <v>858</v>
      </c>
      <c r="J8" s="16"/>
      <c r="K8" s="16"/>
      <c r="L8" s="16"/>
      <c r="M8" s="16"/>
      <c r="N8" s="61" t="s">
        <v>28</v>
      </c>
      <c r="O8" s="61" t="s">
        <v>65</v>
      </c>
      <c r="P8" s="61" t="s">
        <v>71</v>
      </c>
      <c r="Q8" s="51" t="s">
        <v>68</v>
      </c>
      <c r="R8" s="16" t="s">
        <v>70</v>
      </c>
      <c r="S8" s="54" t="s">
        <v>72</v>
      </c>
      <c r="T8" s="16"/>
      <c r="U8" s="16"/>
      <c r="V8" s="16"/>
      <c r="W8" s="16"/>
    </row>
    <row r="9">
      <c r="A9" s="40">
        <v>8.0</v>
      </c>
      <c r="B9" s="16" t="s">
        <v>20</v>
      </c>
      <c r="C9" s="61" t="s">
        <v>859</v>
      </c>
      <c r="D9" s="16" t="s">
        <v>43</v>
      </c>
      <c r="E9" s="16" t="s">
        <v>853</v>
      </c>
      <c r="F9" s="16" t="s">
        <v>857</v>
      </c>
      <c r="G9" s="79">
        <v>2.10132022443E11</v>
      </c>
      <c r="H9" s="79">
        <v>7.732852247E9</v>
      </c>
      <c r="I9" s="61" t="s">
        <v>860</v>
      </c>
      <c r="J9" s="16"/>
      <c r="K9" s="16"/>
      <c r="L9" s="16"/>
      <c r="M9" s="16"/>
      <c r="N9" s="61" t="s">
        <v>28</v>
      </c>
      <c r="O9" s="61" t="s">
        <v>65</v>
      </c>
      <c r="P9" s="61" t="s">
        <v>71</v>
      </c>
      <c r="Q9" s="51" t="s">
        <v>68</v>
      </c>
      <c r="R9" s="16" t="s">
        <v>70</v>
      </c>
      <c r="S9" s="54" t="s">
        <v>72</v>
      </c>
      <c r="T9" s="16"/>
      <c r="U9" s="16"/>
      <c r="V9" s="16"/>
      <c r="W9" s="16"/>
    </row>
    <row r="10">
      <c r="A10" s="40">
        <v>9.0</v>
      </c>
      <c r="B10" s="16" t="s">
        <v>20</v>
      </c>
      <c r="C10" s="61" t="s">
        <v>861</v>
      </c>
      <c r="D10" s="16" t="s">
        <v>43</v>
      </c>
      <c r="E10" s="16" t="s">
        <v>853</v>
      </c>
      <c r="F10" s="16" t="s">
        <v>857</v>
      </c>
      <c r="G10" s="79">
        <v>2.10132017089E11</v>
      </c>
      <c r="H10" s="79">
        <v>7.073295214E9</v>
      </c>
      <c r="I10" s="137" t="s">
        <v>862</v>
      </c>
      <c r="J10" s="16"/>
      <c r="K10" s="16"/>
      <c r="L10" s="16"/>
      <c r="M10" s="16"/>
      <c r="N10" s="61" t="s">
        <v>28</v>
      </c>
      <c r="O10" s="61" t="s">
        <v>65</v>
      </c>
      <c r="P10" s="61" t="s">
        <v>71</v>
      </c>
      <c r="Q10" s="51" t="s">
        <v>68</v>
      </c>
      <c r="R10" s="16" t="s">
        <v>70</v>
      </c>
      <c r="S10" s="54" t="s">
        <v>72</v>
      </c>
      <c r="T10" s="16"/>
      <c r="U10" s="16"/>
      <c r="V10" s="16"/>
      <c r="W10" s="16"/>
    </row>
    <row r="11">
      <c r="A11" s="40">
        <v>10.0</v>
      </c>
      <c r="B11" s="16" t="s">
        <v>41</v>
      </c>
      <c r="C11" s="61" t="s">
        <v>863</v>
      </c>
      <c r="D11" s="16" t="s">
        <v>43</v>
      </c>
      <c r="E11" s="16" t="s">
        <v>853</v>
      </c>
      <c r="F11" s="16" t="s">
        <v>864</v>
      </c>
      <c r="G11" s="79">
        <v>2.10117029588E11</v>
      </c>
      <c r="H11" s="79">
        <v>9.694227425E9</v>
      </c>
      <c r="I11" s="137" t="s">
        <v>865</v>
      </c>
      <c r="J11" s="16"/>
      <c r="K11" s="16"/>
      <c r="L11" s="16"/>
      <c r="M11" s="16"/>
      <c r="N11" s="61" t="s">
        <v>28</v>
      </c>
      <c r="O11" s="61" t="s">
        <v>65</v>
      </c>
      <c r="P11" s="61" t="s">
        <v>71</v>
      </c>
      <c r="Q11" s="51" t="s">
        <v>68</v>
      </c>
      <c r="R11" s="16" t="s">
        <v>70</v>
      </c>
      <c r="S11" s="54" t="s">
        <v>72</v>
      </c>
      <c r="T11" s="16"/>
      <c r="U11" s="16"/>
      <c r="V11" s="16"/>
      <c r="W11" s="16"/>
    </row>
    <row r="12">
      <c r="A12" s="40">
        <v>11.0</v>
      </c>
      <c r="B12" s="16" t="s">
        <v>866</v>
      </c>
      <c r="C12" s="61" t="s">
        <v>867</v>
      </c>
      <c r="D12" s="16" t="s">
        <v>43</v>
      </c>
      <c r="E12" s="16" t="s">
        <v>853</v>
      </c>
      <c r="F12" s="16" t="s">
        <v>868</v>
      </c>
      <c r="G12" s="79">
        <v>2.11911011092E11</v>
      </c>
      <c r="H12" s="79">
        <v>8.920644244E9</v>
      </c>
      <c r="I12" s="16"/>
      <c r="J12" s="16"/>
      <c r="K12" s="16"/>
      <c r="L12" s="16"/>
      <c r="M12" s="16"/>
      <c r="N12" s="61" t="s">
        <v>28</v>
      </c>
      <c r="O12" s="61" t="s">
        <v>65</v>
      </c>
      <c r="P12" s="61" t="s">
        <v>71</v>
      </c>
      <c r="Q12" s="51" t="s">
        <v>68</v>
      </c>
      <c r="R12" s="16" t="s">
        <v>70</v>
      </c>
      <c r="S12" s="54" t="s">
        <v>72</v>
      </c>
      <c r="T12" s="16"/>
      <c r="U12" s="16"/>
      <c r="V12" s="16"/>
      <c r="W12" s="16"/>
    </row>
    <row r="13">
      <c r="A13" s="40">
        <v>12.0</v>
      </c>
      <c r="B13" s="16" t="s">
        <v>20</v>
      </c>
      <c r="C13" s="61" t="s">
        <v>869</v>
      </c>
      <c r="D13" s="16" t="s">
        <v>43</v>
      </c>
      <c r="E13" s="16" t="s">
        <v>853</v>
      </c>
      <c r="F13" s="16" t="s">
        <v>857</v>
      </c>
      <c r="G13" s="79">
        <v>2.10132028641E11</v>
      </c>
      <c r="H13" s="79">
        <v>7.689810199E9</v>
      </c>
      <c r="I13" s="61" t="s">
        <v>870</v>
      </c>
      <c r="J13" s="16"/>
      <c r="K13" s="16"/>
      <c r="L13" s="16"/>
      <c r="M13" s="16"/>
      <c r="N13" s="61" t="s">
        <v>28</v>
      </c>
      <c r="O13" s="61" t="s">
        <v>69</v>
      </c>
      <c r="P13" s="61" t="s">
        <v>71</v>
      </c>
      <c r="Q13" s="51" t="s">
        <v>68</v>
      </c>
      <c r="R13" s="16" t="s">
        <v>70</v>
      </c>
      <c r="S13" s="54" t="s">
        <v>72</v>
      </c>
      <c r="T13" s="16"/>
      <c r="U13" s="16"/>
      <c r="V13" s="16"/>
      <c r="W13" s="16"/>
    </row>
    <row r="14">
      <c r="A14" s="40">
        <v>13.0</v>
      </c>
      <c r="B14" s="16" t="s">
        <v>20</v>
      </c>
      <c r="C14" s="61" t="s">
        <v>871</v>
      </c>
      <c r="D14" s="16" t="s">
        <v>43</v>
      </c>
      <c r="E14" s="16" t="s">
        <v>853</v>
      </c>
      <c r="F14" s="16" t="s">
        <v>854</v>
      </c>
      <c r="G14" s="79">
        <v>2.10172021765E11</v>
      </c>
      <c r="H14" s="79">
        <v>9.772036747E9</v>
      </c>
      <c r="I14" s="16"/>
      <c r="J14" s="16"/>
      <c r="K14" s="16"/>
      <c r="L14" s="16"/>
      <c r="M14" s="16"/>
      <c r="N14" s="61" t="s">
        <v>28</v>
      </c>
      <c r="O14" s="61" t="s">
        <v>65</v>
      </c>
      <c r="P14" s="61" t="s">
        <v>71</v>
      </c>
      <c r="Q14" s="51" t="s">
        <v>68</v>
      </c>
      <c r="R14" s="16" t="s">
        <v>70</v>
      </c>
      <c r="S14" s="54" t="s">
        <v>72</v>
      </c>
      <c r="T14" s="16"/>
      <c r="U14" s="16"/>
      <c r="V14" s="16"/>
      <c r="W14" s="16"/>
    </row>
    <row r="15">
      <c r="A15" s="40">
        <v>14.0</v>
      </c>
      <c r="B15" s="16" t="s">
        <v>872</v>
      </c>
      <c r="C15" s="61" t="s">
        <v>873</v>
      </c>
      <c r="D15" s="16" t="s">
        <v>43</v>
      </c>
      <c r="E15" s="16" t="s">
        <v>853</v>
      </c>
      <c r="F15" s="16" t="s">
        <v>854</v>
      </c>
      <c r="G15" s="79">
        <v>2.10172037684E11</v>
      </c>
      <c r="H15" s="79">
        <v>7.689873281E9</v>
      </c>
      <c r="I15" s="16"/>
      <c r="J15" s="16"/>
      <c r="K15" s="16"/>
      <c r="L15" s="16"/>
      <c r="M15" s="16"/>
      <c r="N15" s="61" t="s">
        <v>28</v>
      </c>
      <c r="O15" s="61" t="s">
        <v>69</v>
      </c>
      <c r="P15" s="61" t="s">
        <v>71</v>
      </c>
      <c r="Q15" s="51" t="s">
        <v>68</v>
      </c>
      <c r="R15" s="16" t="s">
        <v>70</v>
      </c>
      <c r="S15" s="54" t="s">
        <v>72</v>
      </c>
      <c r="T15" s="16"/>
      <c r="U15" s="16"/>
      <c r="V15" s="16"/>
      <c r="W15" s="16"/>
    </row>
    <row r="16">
      <c r="A16" s="40">
        <v>15.0</v>
      </c>
      <c r="B16" s="16" t="s">
        <v>20</v>
      </c>
      <c r="C16" s="61" t="s">
        <v>874</v>
      </c>
      <c r="D16" s="16" t="s">
        <v>43</v>
      </c>
      <c r="E16" s="16" t="s">
        <v>853</v>
      </c>
      <c r="F16" s="16" t="s">
        <v>854</v>
      </c>
      <c r="G16" s="79">
        <v>2.10172037685E11</v>
      </c>
      <c r="H16" s="79">
        <v>6.375622327E9</v>
      </c>
      <c r="I16" s="16"/>
      <c r="J16" s="16"/>
      <c r="K16" s="16"/>
      <c r="L16" s="16"/>
      <c r="M16" s="16"/>
      <c r="N16" s="61" t="s">
        <v>28</v>
      </c>
      <c r="O16" s="61" t="s">
        <v>69</v>
      </c>
      <c r="P16" s="61" t="s">
        <v>71</v>
      </c>
      <c r="Q16" s="51" t="s">
        <v>68</v>
      </c>
      <c r="R16" s="16" t="s">
        <v>70</v>
      </c>
      <c r="S16" s="54" t="s">
        <v>72</v>
      </c>
      <c r="T16" s="16"/>
      <c r="U16" s="16"/>
      <c r="V16" s="16"/>
      <c r="W16" s="16"/>
    </row>
    <row r="17">
      <c r="A17" s="40">
        <v>16.0</v>
      </c>
      <c r="B17" s="16" t="s">
        <v>20</v>
      </c>
      <c r="C17" s="61" t="s">
        <v>875</v>
      </c>
      <c r="D17" s="16" t="s">
        <v>43</v>
      </c>
      <c r="E17" s="16" t="s">
        <v>853</v>
      </c>
      <c r="F17" s="16" t="s">
        <v>857</v>
      </c>
      <c r="G17" s="79">
        <v>2.10132024207E11</v>
      </c>
      <c r="H17" s="79">
        <v>7.734044736E9</v>
      </c>
      <c r="I17" s="61" t="s">
        <v>877</v>
      </c>
      <c r="J17" s="16"/>
      <c r="K17" s="16"/>
      <c r="L17" s="16"/>
      <c r="M17" s="16"/>
      <c r="N17" s="61" t="s">
        <v>28</v>
      </c>
      <c r="O17" s="61" t="s">
        <v>65</v>
      </c>
      <c r="P17" s="61" t="s">
        <v>71</v>
      </c>
      <c r="Q17" s="51" t="s">
        <v>68</v>
      </c>
      <c r="R17" s="16" t="s">
        <v>70</v>
      </c>
      <c r="S17" s="54" t="s">
        <v>72</v>
      </c>
      <c r="T17" s="16"/>
      <c r="U17" s="16"/>
      <c r="V17" s="16"/>
      <c r="W17" s="16"/>
    </row>
    <row r="18">
      <c r="A18" s="40">
        <v>17.0</v>
      </c>
      <c r="B18" s="16" t="s">
        <v>20</v>
      </c>
      <c r="C18" s="61" t="s">
        <v>878</v>
      </c>
      <c r="D18" s="16" t="s">
        <v>43</v>
      </c>
      <c r="E18" s="16" t="s">
        <v>853</v>
      </c>
      <c r="F18" s="16" t="s">
        <v>857</v>
      </c>
      <c r="G18" s="79">
        <v>2.10132015841E11</v>
      </c>
      <c r="H18" s="79">
        <v>8.302785264E9</v>
      </c>
      <c r="I18" s="61" t="s">
        <v>879</v>
      </c>
      <c r="J18" s="16"/>
      <c r="K18" s="16"/>
      <c r="L18" s="16"/>
      <c r="M18" s="16"/>
      <c r="N18" s="61" t="s">
        <v>28</v>
      </c>
      <c r="O18" s="61" t="s">
        <v>65</v>
      </c>
      <c r="P18" s="61" t="s">
        <v>71</v>
      </c>
      <c r="Q18" s="51" t="s">
        <v>68</v>
      </c>
      <c r="R18" s="16" t="s">
        <v>70</v>
      </c>
      <c r="S18" s="54" t="s">
        <v>72</v>
      </c>
      <c r="T18" s="16"/>
      <c r="U18" s="16"/>
      <c r="V18" s="16"/>
      <c r="W18" s="16"/>
    </row>
    <row r="19">
      <c r="A19" s="40">
        <v>18.0</v>
      </c>
      <c r="B19" s="16" t="s">
        <v>20</v>
      </c>
      <c r="C19" s="61" t="s">
        <v>881</v>
      </c>
      <c r="D19" s="16" t="s">
        <v>43</v>
      </c>
      <c r="E19" s="16" t="s">
        <v>883</v>
      </c>
      <c r="F19" s="16" t="s">
        <v>884</v>
      </c>
      <c r="G19" s="79">
        <v>2.11921049537E11</v>
      </c>
      <c r="H19" s="79">
        <v>7.339877186E9</v>
      </c>
      <c r="I19" s="61" t="s">
        <v>885</v>
      </c>
      <c r="J19" s="16"/>
      <c r="K19" s="16"/>
      <c r="L19" s="16"/>
      <c r="M19" s="16"/>
      <c r="N19" s="61" t="s">
        <v>28</v>
      </c>
      <c r="O19" s="61" t="s">
        <v>65</v>
      </c>
      <c r="P19" s="61" t="s">
        <v>71</v>
      </c>
      <c r="Q19" s="51" t="s">
        <v>68</v>
      </c>
      <c r="R19" s="16" t="s">
        <v>70</v>
      </c>
      <c r="S19" s="54" t="s">
        <v>72</v>
      </c>
      <c r="T19" s="16"/>
      <c r="U19" s="16"/>
      <c r="V19" s="16"/>
      <c r="W19" s="16"/>
    </row>
    <row r="20">
      <c r="A20" s="40">
        <v>19.0</v>
      </c>
      <c r="B20" s="16"/>
      <c r="C20" s="61" t="s">
        <v>888</v>
      </c>
      <c r="D20" s="16" t="s">
        <v>43</v>
      </c>
      <c r="E20" s="16"/>
      <c r="F20" s="16"/>
      <c r="G20" s="79">
        <v>2.10261019912E11</v>
      </c>
      <c r="H20" s="16"/>
      <c r="I20" s="16"/>
      <c r="J20" s="16"/>
      <c r="K20" s="16"/>
      <c r="L20" s="16"/>
      <c r="M20" s="16"/>
      <c r="N20" s="61" t="s">
        <v>66</v>
      </c>
      <c r="O20" s="61" t="s">
        <v>69</v>
      </c>
      <c r="P20" s="61" t="s">
        <v>71</v>
      </c>
      <c r="Q20" s="51" t="s">
        <v>68</v>
      </c>
      <c r="R20" s="16" t="s">
        <v>70</v>
      </c>
      <c r="S20" s="54" t="s">
        <v>72</v>
      </c>
      <c r="T20" s="16"/>
      <c r="U20" s="16"/>
      <c r="V20" s="16"/>
      <c r="W20" s="16"/>
    </row>
    <row r="21">
      <c r="A21" s="40">
        <v>20.0</v>
      </c>
      <c r="B21" s="16"/>
      <c r="C21" s="61" t="s">
        <v>890</v>
      </c>
      <c r="D21" s="16" t="s">
        <v>43</v>
      </c>
      <c r="E21" s="16"/>
      <c r="F21" s="16"/>
      <c r="G21" s="16"/>
      <c r="H21" s="16"/>
      <c r="I21" s="16"/>
      <c r="J21" s="16"/>
      <c r="K21" s="16"/>
      <c r="L21" s="16"/>
      <c r="M21" s="16"/>
      <c r="N21" s="61" t="s">
        <v>66</v>
      </c>
      <c r="O21" s="61" t="s">
        <v>69</v>
      </c>
      <c r="P21" s="61" t="s">
        <v>71</v>
      </c>
      <c r="Q21" s="51" t="s">
        <v>68</v>
      </c>
      <c r="R21" s="16" t="s">
        <v>70</v>
      </c>
      <c r="S21" s="54" t="s">
        <v>72</v>
      </c>
      <c r="T21" s="16"/>
      <c r="U21" s="16"/>
      <c r="V21" s="16"/>
      <c r="W21" s="16"/>
    </row>
    <row r="22">
      <c r="A22" s="40">
        <v>21.0</v>
      </c>
      <c r="B22" s="16"/>
      <c r="C22" s="61" t="s">
        <v>891</v>
      </c>
      <c r="D22" s="16" t="s">
        <v>43</v>
      </c>
      <c r="E22" s="16"/>
      <c r="F22" s="16"/>
      <c r="G22" s="79">
        <v>2.10173020278E11</v>
      </c>
      <c r="H22" s="79">
        <v>8.290214187E9</v>
      </c>
      <c r="I22" s="61" t="s">
        <v>892</v>
      </c>
      <c r="J22" s="16"/>
      <c r="K22" s="16"/>
      <c r="L22" s="16"/>
      <c r="M22" s="16"/>
      <c r="N22" s="61" t="s">
        <v>66</v>
      </c>
      <c r="O22" s="61" t="s">
        <v>69</v>
      </c>
      <c r="P22" s="61" t="s">
        <v>71</v>
      </c>
      <c r="Q22" s="51" t="s">
        <v>68</v>
      </c>
      <c r="R22" s="16" t="s">
        <v>70</v>
      </c>
      <c r="S22" s="54" t="s">
        <v>72</v>
      </c>
      <c r="T22" s="16"/>
      <c r="U22" s="16"/>
      <c r="V22" s="16"/>
      <c r="W22" s="16"/>
    </row>
    <row r="23">
      <c r="A23" s="40">
        <v>22.0</v>
      </c>
      <c r="B23" s="16"/>
      <c r="C23" s="16" t="s">
        <v>894</v>
      </c>
      <c r="D23" s="16" t="s">
        <v>43</v>
      </c>
      <c r="E23" s="16" t="s">
        <v>853</v>
      </c>
      <c r="F23" s="16" t="s">
        <v>895</v>
      </c>
      <c r="G23" s="40">
        <v>2.10131020572E11</v>
      </c>
      <c r="H23" s="16" t="s">
        <v>896</v>
      </c>
      <c r="I23" s="16"/>
      <c r="J23" s="16"/>
      <c r="K23" s="16"/>
      <c r="L23" s="16"/>
      <c r="M23" s="16"/>
      <c r="N23" s="61" t="s">
        <v>66</v>
      </c>
      <c r="O23" s="61" t="s">
        <v>65</v>
      </c>
      <c r="P23" s="61" t="s">
        <v>71</v>
      </c>
      <c r="Q23" s="51" t="s">
        <v>68</v>
      </c>
      <c r="R23" s="16" t="s">
        <v>70</v>
      </c>
      <c r="S23" s="54" t="s">
        <v>72</v>
      </c>
      <c r="T23" s="16"/>
      <c r="U23" s="16"/>
      <c r="V23" s="16"/>
      <c r="W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61" t="s">
        <v>66</v>
      </c>
      <c r="O24" s="61" t="s">
        <v>69</v>
      </c>
      <c r="P24" s="61" t="s">
        <v>71</v>
      </c>
      <c r="Q24" s="51" t="s">
        <v>68</v>
      </c>
      <c r="R24" s="16" t="s">
        <v>70</v>
      </c>
      <c r="S24" s="54" t="s">
        <v>72</v>
      </c>
      <c r="T24" s="16"/>
      <c r="U24" s="16"/>
      <c r="V24" s="16"/>
      <c r="W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61" t="s">
        <v>66</v>
      </c>
      <c r="O25" s="61" t="s">
        <v>69</v>
      </c>
      <c r="P25" s="61" t="s">
        <v>71</v>
      </c>
      <c r="Q25" s="51" t="s">
        <v>68</v>
      </c>
      <c r="R25" s="16" t="s">
        <v>70</v>
      </c>
      <c r="S25" s="54" t="s">
        <v>72</v>
      </c>
      <c r="T25" s="16"/>
      <c r="U25" s="16"/>
      <c r="V25" s="16"/>
      <c r="W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61" t="s">
        <v>66</v>
      </c>
      <c r="O26" s="61" t="s">
        <v>69</v>
      </c>
      <c r="P26" s="61" t="s">
        <v>71</v>
      </c>
      <c r="Q26" s="51" t="s">
        <v>68</v>
      </c>
      <c r="R26" s="16" t="s">
        <v>70</v>
      </c>
      <c r="S26" s="54" t="s">
        <v>72</v>
      </c>
      <c r="T26" s="16"/>
      <c r="U26" s="16"/>
      <c r="V26" s="16"/>
      <c r="W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61" t="s">
        <v>66</v>
      </c>
      <c r="O27" s="61" t="s">
        <v>69</v>
      </c>
      <c r="P27" s="61" t="s">
        <v>71</v>
      </c>
      <c r="Q27" s="51" t="s">
        <v>68</v>
      </c>
      <c r="R27" s="16" t="s">
        <v>70</v>
      </c>
      <c r="S27" s="54" t="s">
        <v>72</v>
      </c>
      <c r="T27" s="16"/>
      <c r="U27" s="16"/>
      <c r="V27" s="16"/>
      <c r="W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61" t="s">
        <v>66</v>
      </c>
      <c r="O28" s="61" t="s">
        <v>69</v>
      </c>
      <c r="P28" s="61" t="s">
        <v>71</v>
      </c>
      <c r="Q28" s="51" t="s">
        <v>68</v>
      </c>
      <c r="R28" s="16" t="s">
        <v>70</v>
      </c>
      <c r="S28" s="54" t="s">
        <v>72</v>
      </c>
      <c r="T28" s="16"/>
      <c r="U28" s="16"/>
      <c r="V28" s="16"/>
      <c r="W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61" t="s">
        <v>66</v>
      </c>
      <c r="O29" s="61" t="s">
        <v>69</v>
      </c>
      <c r="P29" s="61" t="s">
        <v>71</v>
      </c>
      <c r="Q29" s="51" t="s">
        <v>68</v>
      </c>
      <c r="R29" s="16" t="s">
        <v>70</v>
      </c>
      <c r="S29" s="54" t="s">
        <v>72</v>
      </c>
      <c r="T29" s="16"/>
      <c r="U29" s="16"/>
      <c r="V29" s="16"/>
      <c r="W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61" t="s">
        <v>66</v>
      </c>
      <c r="O30" s="61" t="s">
        <v>69</v>
      </c>
      <c r="P30" s="61" t="s">
        <v>71</v>
      </c>
      <c r="Q30" s="51" t="s">
        <v>68</v>
      </c>
      <c r="R30" s="16" t="s">
        <v>70</v>
      </c>
      <c r="S30" s="54" t="s">
        <v>72</v>
      </c>
      <c r="T30" s="16"/>
      <c r="U30" s="16"/>
      <c r="V30" s="16"/>
      <c r="W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61" t="s">
        <v>66</v>
      </c>
      <c r="O31" s="61" t="s">
        <v>69</v>
      </c>
      <c r="P31" s="61" t="s">
        <v>71</v>
      </c>
      <c r="Q31" s="51" t="s">
        <v>68</v>
      </c>
      <c r="R31" s="16" t="s">
        <v>70</v>
      </c>
      <c r="S31" s="54" t="s">
        <v>72</v>
      </c>
      <c r="T31" s="16"/>
      <c r="U31" s="16"/>
      <c r="V31" s="16"/>
      <c r="W31" s="16"/>
    </row>
  </sheetData>
  <dataValidations>
    <dataValidation type="list" allowBlank="1" showErrorMessage="1" sqref="Q2:Q31">
      <formula1>"Work Not Started Yet,Measrument Done,Material &amp; Team Reached,Structure Work,Panel,Inverter pending,Project On Hold,I&amp;C Completed"</formula1>
    </dataValidation>
    <dataValidation type="list" allowBlank="1" showErrorMessage="1" sqref="N2:N31">
      <formula1>"Doc Recieved,File login,COMPLET"</formula1>
    </dataValidation>
    <dataValidation type="list" allowBlank="1" showErrorMessage="1" sqref="P2:P31">
      <formula1>"Loan apply,File prepare,File into bank,Loan approved,Loan Rejected,CASH FILE"</formula1>
    </dataValidation>
    <dataValidation type="list" allowBlank="1" showErrorMessage="1" sqref="R2:R31">
      <formula1>"Pending,Meter &amp; File submit DISCOM,Net Metering,Subsidy apply with site photo,Subsidy granted"</formula1>
    </dataValidation>
    <dataValidation type="list" allowBlank="1" showErrorMessage="1" sqref="S2:S31">
      <formula1>"Cash To Mahi,1st Installment Received,2ns Installment Received,Payment Not Received Yet,Payment Due"</formula1>
    </dataValidation>
    <dataValidation type="list" allowBlank="1" showErrorMessage="1" sqref="O2:O31">
      <formula1>"Center (78K),Both (78 + 17),WITH OUT SUBSIDY"</formula1>
    </dataValidation>
  </dataValidations>
  <hyperlinks>
    <hyperlink r:id="rId1" ref="G1"/>
    <hyperlink r:id="rId2" ref="I10"/>
    <hyperlink r:id="rId3" ref="I11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</cols>
  <sheetData>
    <row r="3">
      <c r="A3" s="138"/>
      <c r="B3" s="138"/>
      <c r="C3" s="138"/>
      <c r="D3" s="139" t="s">
        <v>876</v>
      </c>
      <c r="E3" s="138"/>
      <c r="F3" s="138"/>
      <c r="G3" s="138"/>
      <c r="H3" s="138"/>
    </row>
    <row r="4">
      <c r="A4" s="138"/>
      <c r="B4" s="140" t="s">
        <v>880</v>
      </c>
      <c r="C4" s="140" t="s">
        <v>102</v>
      </c>
      <c r="D4" s="141" t="s">
        <v>882</v>
      </c>
      <c r="E4" s="140" t="s">
        <v>886</v>
      </c>
      <c r="F4" s="142" t="s">
        <v>182</v>
      </c>
      <c r="G4" s="140" t="s">
        <v>887</v>
      </c>
      <c r="H4" s="140" t="s">
        <v>74</v>
      </c>
      <c r="I4" s="143" t="s">
        <v>889</v>
      </c>
    </row>
    <row r="5">
      <c r="A5" s="144" t="s">
        <v>876</v>
      </c>
      <c r="B5" s="145">
        <v>34.0</v>
      </c>
      <c r="C5" s="145">
        <v>8.0</v>
      </c>
      <c r="D5" s="145">
        <v>1.0</v>
      </c>
      <c r="E5" s="145">
        <v>11.0</v>
      </c>
      <c r="F5" s="145">
        <v>3.0</v>
      </c>
      <c r="G5" s="145">
        <v>8.0</v>
      </c>
      <c r="H5" s="145">
        <v>3.0</v>
      </c>
      <c r="I5" s="146">
        <v>8.0</v>
      </c>
    </row>
    <row r="6">
      <c r="A6" s="144" t="s">
        <v>893</v>
      </c>
      <c r="B6" s="145">
        <v>5.0</v>
      </c>
      <c r="C6" s="145">
        <v>0.0</v>
      </c>
      <c r="D6" s="145">
        <v>0.0</v>
      </c>
      <c r="E6" s="145">
        <v>5.0</v>
      </c>
      <c r="F6" s="145">
        <v>0.0</v>
      </c>
      <c r="G6" s="145">
        <v>0.0</v>
      </c>
      <c r="H6" s="145">
        <v>2.0</v>
      </c>
      <c r="I6" s="147"/>
    </row>
    <row r="7">
      <c r="A7" s="144" t="s">
        <v>897</v>
      </c>
      <c r="B7" s="145">
        <v>8.0</v>
      </c>
      <c r="C7" s="145">
        <v>1.0</v>
      </c>
      <c r="D7" s="145">
        <v>1.0</v>
      </c>
      <c r="E7" s="145">
        <v>1.0</v>
      </c>
      <c r="F7" s="145">
        <v>0.0</v>
      </c>
      <c r="G7" s="145">
        <v>5.0</v>
      </c>
      <c r="H7" s="145">
        <v>0.0</v>
      </c>
      <c r="I7" s="146">
        <v>1.0</v>
      </c>
    </row>
    <row r="8">
      <c r="A8" s="144" t="s">
        <v>898</v>
      </c>
      <c r="B8" s="145">
        <v>10.0</v>
      </c>
      <c r="C8" s="145">
        <v>1.0</v>
      </c>
      <c r="D8" s="145">
        <v>0.0</v>
      </c>
      <c r="E8" s="145">
        <v>7.0</v>
      </c>
      <c r="F8" s="145">
        <v>0.0</v>
      </c>
      <c r="G8" s="145">
        <v>2.0</v>
      </c>
      <c r="H8" s="145">
        <v>0.0</v>
      </c>
      <c r="I8" s="146">
        <v>1.0</v>
      </c>
    </row>
    <row r="9">
      <c r="A9" s="144" t="s">
        <v>899</v>
      </c>
      <c r="B9" s="145">
        <v>9.0</v>
      </c>
      <c r="C9" s="145">
        <v>3.0</v>
      </c>
      <c r="D9" s="148"/>
      <c r="E9" s="145">
        <v>3.0</v>
      </c>
      <c r="F9" s="145">
        <v>0.0</v>
      </c>
      <c r="G9" s="145">
        <v>2.0</v>
      </c>
      <c r="H9" s="145">
        <v>1.0</v>
      </c>
      <c r="I9" s="147"/>
    </row>
    <row r="10">
      <c r="A10" s="144" t="s">
        <v>900</v>
      </c>
      <c r="B10" s="145">
        <v>2.0</v>
      </c>
      <c r="C10" s="145">
        <v>0.0</v>
      </c>
      <c r="D10" s="145">
        <v>0.0</v>
      </c>
      <c r="E10" s="145">
        <v>0.0</v>
      </c>
      <c r="F10" s="145">
        <v>0.0</v>
      </c>
      <c r="G10" s="145">
        <v>1.0</v>
      </c>
      <c r="H10" s="145">
        <v>1.0</v>
      </c>
      <c r="I10" s="147"/>
    </row>
    <row r="11">
      <c r="A11" s="144" t="s">
        <v>901</v>
      </c>
      <c r="B11" s="145">
        <v>1.0</v>
      </c>
      <c r="C11" s="145">
        <v>0.0</v>
      </c>
      <c r="D11" s="145">
        <v>0.0</v>
      </c>
      <c r="E11" s="145">
        <v>1.0</v>
      </c>
      <c r="F11" s="145">
        <v>0.0</v>
      </c>
      <c r="G11" s="145">
        <v>0.0</v>
      </c>
      <c r="H11" s="145">
        <v>0.0</v>
      </c>
      <c r="I11" s="147"/>
    </row>
    <row r="12">
      <c r="A12" s="138"/>
      <c r="B12" s="148"/>
      <c r="C12" s="148"/>
      <c r="D12" s="148"/>
      <c r="E12" s="148"/>
      <c r="F12" s="148"/>
      <c r="G12" s="148"/>
      <c r="H12" s="148"/>
      <c r="I12" s="147"/>
    </row>
    <row r="16">
      <c r="A16" s="138"/>
      <c r="B16" s="138"/>
      <c r="C16" s="138"/>
      <c r="D16" s="149" t="s">
        <v>902</v>
      </c>
      <c r="E16" s="138"/>
      <c r="F16" s="138"/>
      <c r="G16" s="138"/>
      <c r="H16" s="138"/>
    </row>
    <row r="17">
      <c r="A17" s="138"/>
      <c r="B17" s="140" t="s">
        <v>880</v>
      </c>
      <c r="C17" s="140" t="s">
        <v>102</v>
      </c>
      <c r="D17" s="141" t="s">
        <v>882</v>
      </c>
      <c r="E17" s="140" t="s">
        <v>886</v>
      </c>
      <c r="F17" s="142" t="s">
        <v>182</v>
      </c>
      <c r="G17" s="140" t="s">
        <v>887</v>
      </c>
      <c r="H17" s="140" t="s">
        <v>74</v>
      </c>
    </row>
    <row r="18">
      <c r="A18" s="144" t="s">
        <v>876</v>
      </c>
      <c r="B18" s="145">
        <v>34.0</v>
      </c>
      <c r="C18" s="145">
        <v>27.0</v>
      </c>
      <c r="D18" s="145">
        <v>2.0</v>
      </c>
      <c r="E18" s="150">
        <v>3.0</v>
      </c>
      <c r="F18" s="148"/>
      <c r="G18" s="150">
        <v>2.0</v>
      </c>
      <c r="H18" s="148"/>
    </row>
    <row r="19">
      <c r="A19" s="144" t="s">
        <v>893</v>
      </c>
      <c r="B19" s="145">
        <v>3.0</v>
      </c>
      <c r="C19" s="145">
        <v>2.0</v>
      </c>
      <c r="D19" s="145">
        <v>1.0</v>
      </c>
      <c r="E19" s="145">
        <v>0.0</v>
      </c>
      <c r="F19" s="145">
        <v>0.0</v>
      </c>
      <c r="G19" s="145">
        <v>0.0</v>
      </c>
      <c r="H19" s="145">
        <v>0.0</v>
      </c>
    </row>
    <row r="20">
      <c r="A20" s="144" t="s">
        <v>899</v>
      </c>
      <c r="B20" s="145">
        <v>30.0</v>
      </c>
      <c r="C20" s="145">
        <v>25.0</v>
      </c>
      <c r="D20" s="145">
        <v>3.0</v>
      </c>
      <c r="E20" s="145">
        <v>2.0</v>
      </c>
      <c r="F20" s="148"/>
      <c r="G20" s="148"/>
      <c r="H20" s="148"/>
    </row>
    <row r="21">
      <c r="A21" s="138"/>
      <c r="B21" s="148"/>
      <c r="C21" s="148"/>
      <c r="D21" s="148"/>
      <c r="E21" s="148"/>
      <c r="F21" s="148"/>
      <c r="G21" s="148"/>
      <c r="H21" s="148"/>
    </row>
    <row r="22">
      <c r="A22" s="138"/>
      <c r="B22" s="148"/>
      <c r="C22" s="148"/>
      <c r="D22" s="148"/>
      <c r="E22" s="148"/>
      <c r="F22" s="148"/>
      <c r="G22" s="148"/>
      <c r="H22" s="148"/>
    </row>
    <row r="23">
      <c r="A23" s="138"/>
      <c r="B23" s="148"/>
      <c r="C23" s="148"/>
      <c r="D23" s="148"/>
      <c r="E23" s="148"/>
      <c r="F23" s="148"/>
      <c r="G23" s="148"/>
      <c r="H23" s="148"/>
    </row>
    <row r="24">
      <c r="A24" s="138"/>
      <c r="B24" s="148"/>
      <c r="C24" s="148"/>
      <c r="D24" s="148"/>
      <c r="E24" s="148"/>
      <c r="F24" s="148"/>
      <c r="G24" s="148"/>
      <c r="H24" s="148"/>
    </row>
    <row r="25">
      <c r="A25" s="138"/>
      <c r="B25" s="148"/>
      <c r="C25" s="148"/>
      <c r="D25" s="148"/>
      <c r="E25" s="148"/>
      <c r="F25" s="148"/>
      <c r="G25" s="148"/>
      <c r="H25" s="148"/>
    </row>
  </sheetData>
  <drawing r:id="rId1"/>
</worksheet>
</file>